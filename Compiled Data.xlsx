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133\Documents\CHEMENG Classes\CHEMENG277\Final Project\Data\"/>
    </mc:Choice>
  </mc:AlternateContent>
  <xr:revisionPtr revIDLastSave="0" documentId="13_ncr:1_{AAB4048B-7725-47C6-93F2-8B55B4139343}" xr6:coauthVersionLast="47" xr6:coauthVersionMax="47" xr10:uidLastSave="{00000000-0000-0000-0000-000000000000}"/>
  <bookViews>
    <workbookView xWindow="-28920" yWindow="-120" windowWidth="29040" windowHeight="15720" xr2:uid="{81BF1752-B10E-472F-BA81-70103DFDC5F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" i="2" l="1"/>
</calcChain>
</file>

<file path=xl/sharedStrings.xml><?xml version="1.0" encoding="utf-8"?>
<sst xmlns="http://schemas.openxmlformats.org/spreadsheetml/2006/main" count="555" uniqueCount="137">
  <si>
    <t>Direction</t>
  </si>
  <si>
    <t>T700GC 12k/2510</t>
  </si>
  <si>
    <t>IM7 12k/8552</t>
  </si>
  <si>
    <t>HTS40 12k/MTM45-1</t>
  </si>
  <si>
    <t>AS4 12k/MTM45-1</t>
  </si>
  <si>
    <t>AS4 3k/8552</t>
  </si>
  <si>
    <t>Plain Weave</t>
  </si>
  <si>
    <t>T300 6k/E765</t>
  </si>
  <si>
    <t>T500 12k/976</t>
  </si>
  <si>
    <t>Celion 12k/938</t>
  </si>
  <si>
    <t>Carbon-Epoxy Prepreg</t>
  </si>
  <si>
    <t>Tape</t>
  </si>
  <si>
    <t>Unidirectional</t>
  </si>
  <si>
    <t>HITEX 33 6k/E7K8</t>
  </si>
  <si>
    <t>AS4 12k/938</t>
  </si>
  <si>
    <t>AS4 12k/3502</t>
  </si>
  <si>
    <t>AS4 12k/E7K8</t>
  </si>
  <si>
    <t>Celion 12k/E7K8</t>
  </si>
  <si>
    <t>AS4/3501-6 (Bleed)</t>
  </si>
  <si>
    <t>AS4/3501-6 (No Bleed)</t>
  </si>
  <si>
    <t xml:space="preserve"> T300 15k/976</t>
  </si>
  <si>
    <t xml:space="preserve"> IM7 12k/8551-7A</t>
  </si>
  <si>
    <t xml:space="preserve"> IM6 12k/3501-6</t>
  </si>
  <si>
    <t xml:space="preserve"> IM7 12k/8552</t>
  </si>
  <si>
    <t xml:space="preserve"> AS4 12k/997</t>
  </si>
  <si>
    <t xml:space="preserve"> T650-35 12k/976</t>
  </si>
  <si>
    <t xml:space="preserve"> IM7 12k/PR 381</t>
  </si>
  <si>
    <t xml:space="preserve"> T800HB 12k/3900-2</t>
  </si>
  <si>
    <t>Composition</t>
  </si>
  <si>
    <t>Type</t>
  </si>
  <si>
    <t>Specific Name</t>
  </si>
  <si>
    <t>Fabric</t>
  </si>
  <si>
    <t>Celion 3000/E7K8</t>
  </si>
  <si>
    <t>AS4 3k/E7K8</t>
  </si>
  <si>
    <t>AS4 3k/3501-6</t>
  </si>
  <si>
    <t xml:space="preserve"> T300 3K/977-2</t>
  </si>
  <si>
    <t xml:space="preserve"> T650-35 3k/976</t>
  </si>
  <si>
    <t xml:space="preserve"> AS4C 3k/HTM45</t>
  </si>
  <si>
    <t>AS4 3k/3501-6S</t>
  </si>
  <si>
    <t>5-Harness Satin Weave</t>
  </si>
  <si>
    <t>8-Harness Satin Weave</t>
  </si>
  <si>
    <t>AS4 6k/3502-6S</t>
  </si>
  <si>
    <t>AS4 3k/3501-6 (Bleed)</t>
  </si>
  <si>
    <t>AS4 3k/3501-6 (No Bleed)</t>
  </si>
  <si>
    <t>T300 3k/EA9396</t>
  </si>
  <si>
    <t>Carbon-Epoxy Resin-Transfer-Molded</t>
  </si>
  <si>
    <t xml:space="preserve"> Fabric</t>
  </si>
  <si>
    <t>Carbon-Epoxy Prepreg Wet Layup</t>
  </si>
  <si>
    <t>Carbon-Bismaleimide Prepreg</t>
  </si>
  <si>
    <t>Carbon-Bismaleimide Resin-Transfer-Molded</t>
  </si>
  <si>
    <t>Carbon-Polyimide Prepreg</t>
  </si>
  <si>
    <t>Carbon-Thermoplastic Prepreg</t>
  </si>
  <si>
    <t>Carbon-Cyanate Ester Prepreg</t>
  </si>
  <si>
    <t>IM6 12k/APC-2</t>
  </si>
  <si>
    <t>4-Harness Satin Weave</t>
  </si>
  <si>
    <t>longitudinal tensile strength 75F</t>
  </si>
  <si>
    <t>longitudinal tensile strength -65F</t>
  </si>
  <si>
    <t>longitudinal tensile strength 250F</t>
  </si>
  <si>
    <t>longitudinal tensile modulus 75F</t>
  </si>
  <si>
    <t>longitudinal tensile modulus -65F</t>
  </si>
  <si>
    <t>longitudinal tensile modulus 250F</t>
  </si>
  <si>
    <t>transverse ultimate tensile strain 75F</t>
  </si>
  <si>
    <t>transverse ultimate tensile strain -65F</t>
  </si>
  <si>
    <t>transverse ultimate tensile strain 250F</t>
  </si>
  <si>
    <t>Major Poisson's ratio 75F</t>
  </si>
  <si>
    <t>Major Poisson's ratio -65F</t>
  </si>
  <si>
    <t>Major Poisson's ratio 250F</t>
  </si>
  <si>
    <t>longitudinal ultimate tensile strain 75F</t>
  </si>
  <si>
    <t>longitudinal ultimate tensile strain -65F</t>
  </si>
  <si>
    <t>longitudinal ultimate tensile strain 250F</t>
  </si>
  <si>
    <t>transverse tensile strength 75F</t>
  </si>
  <si>
    <t>transverse tensile strength -65F</t>
  </si>
  <si>
    <t>transverse tensile strength 250F</t>
  </si>
  <si>
    <t>transverse tensile modulus 75F</t>
  </si>
  <si>
    <t>transverse tensile modulus -65F</t>
  </si>
  <si>
    <t>transverse tensile modulus 250F</t>
  </si>
  <si>
    <t>Minor Poisson's ratio 75F</t>
  </si>
  <si>
    <t>Minor Poisson's ratio -65F</t>
  </si>
  <si>
    <t>Minor Poisson's ratio 250F</t>
  </si>
  <si>
    <t>Ply Thickness</t>
  </si>
  <si>
    <t>Fiber</t>
  </si>
  <si>
    <t>Matrix</t>
  </si>
  <si>
    <t>Processing</t>
  </si>
  <si>
    <t>Resin Content</t>
  </si>
  <si>
    <t>carbon-PAN</t>
  </si>
  <si>
    <t>high flow epoxy resin</t>
  </si>
  <si>
    <t>Autoclave</t>
  </si>
  <si>
    <t>Max Cure Temp F</t>
  </si>
  <si>
    <t>medium flow epoxy resin</t>
  </si>
  <si>
    <t>Void Content Min %</t>
  </si>
  <si>
    <t>Void Content Max%</t>
  </si>
  <si>
    <t>epoxy resin</t>
  </si>
  <si>
    <t>.</t>
  </si>
  <si>
    <t xml:space="preserve">AS4 6k/PR500 </t>
  </si>
  <si>
    <t>IM7 6k/PR500</t>
  </si>
  <si>
    <t>T300 3k/F650</t>
  </si>
  <si>
    <t>T300 3k/F652</t>
  </si>
  <si>
    <t>AS4/5250-3</t>
  </si>
  <si>
    <t>T650-35 3k/5250-4</t>
  </si>
  <si>
    <t>IM7 6k/5250-4-RTM</t>
  </si>
  <si>
    <t>Celion 3000/F670</t>
  </si>
  <si>
    <t>M55J 6k/954-3</t>
  </si>
  <si>
    <t>bismaleimide resin</t>
  </si>
  <si>
    <t>polyimide resin</t>
  </si>
  <si>
    <t>thermoplastic resin</t>
  </si>
  <si>
    <t>cyanate ester resin</t>
  </si>
  <si>
    <t xml:space="preserve"> IM7 GP 12k/BT250E-6</t>
  </si>
  <si>
    <t>T700 24k/E765</t>
  </si>
  <si>
    <t xml:space="preserve">AS4 12k/8552 </t>
  </si>
  <si>
    <t>T650 6k/5320-1</t>
  </si>
  <si>
    <t>IM7 12k/MTM45-1</t>
  </si>
  <si>
    <t>IM7 12k/EP2202</t>
  </si>
  <si>
    <t>T700SC 12k/2510</t>
  </si>
  <si>
    <t>T300 3k/E765</t>
  </si>
  <si>
    <t>HTA 5131 3k/M20</t>
  </si>
  <si>
    <t>HTS40 E13 3k/MTM45-1</t>
  </si>
  <si>
    <t>T650 3k/5320-1</t>
  </si>
  <si>
    <t>HTS40 F13 12k/TC250</t>
  </si>
  <si>
    <t>AS4C 3k/BT250E-6</t>
  </si>
  <si>
    <t xml:space="preserve"> T650 3k/EP2202</t>
  </si>
  <si>
    <t>Carbon-Epoxy Wet-Lay-Up</t>
  </si>
  <si>
    <t>HTA 5131 3k/Epocast A/B</t>
  </si>
  <si>
    <t>Oven</t>
  </si>
  <si>
    <t>Glass-Epoxy Prepreg</t>
  </si>
  <si>
    <t>S-2 Glass/BT250E-6</t>
  </si>
  <si>
    <t>E-Glass 7781 Finish 558/2510</t>
  </si>
  <si>
    <t>6781 S-2/MTM45-1</t>
  </si>
  <si>
    <t>E-Glass 7781/MTM45-1</t>
  </si>
  <si>
    <t>S2-449 43k/SP 381</t>
  </si>
  <si>
    <t>S2-449 17k/SP 381</t>
  </si>
  <si>
    <t>E-Glass 7781 G 816/PR 381</t>
  </si>
  <si>
    <t>Glass-Epoxy Wet Lay-Up</t>
  </si>
  <si>
    <t>7781/EA9396</t>
  </si>
  <si>
    <t>glass</t>
  </si>
  <si>
    <t>Boron-Epoxy Prepreg</t>
  </si>
  <si>
    <t>B4.0/5521</t>
  </si>
  <si>
    <t>boron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</si>
</sst>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BE32-DDF2-4235-A3AD-98D2DA249337}">
  <dimension ref="A1:AJ75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80" sqref="F80"/>
    </sheetView>
  </sheetViews>
  <sheetFormatPr defaultRowHeight="15" x14ac:dyDescent="0.25"/>
  <cols>
    <col min="1" max="1" width="22.42578125" customWidth="1"/>
    <col min="2" max="2" width="9.140625" customWidth="1"/>
    <col min="3" max="3" width="16.7109375" customWidth="1"/>
    <col min="4" max="4" width="30.140625" bestFit="1" customWidth="1"/>
    <col min="5" max="5" width="11.7109375" bestFit="1" customWidth="1"/>
    <col min="6" max="6" width="23.140625" bestFit="1" customWidth="1"/>
    <col min="7" max="7" width="13.140625" bestFit="1" customWidth="1"/>
    <col min="8" max="8" width="10.7109375" bestFit="1" customWidth="1"/>
    <col min="9" max="9" width="15.85546875" bestFit="1" customWidth="1"/>
    <col min="10" max="10" width="12.85546875" bestFit="1" customWidth="1"/>
    <col min="11" max="11" width="14.28515625" bestFit="1" customWidth="1"/>
    <col min="12" max="12" width="14.28515625" customWidth="1"/>
    <col min="19" max="21" width="8.5703125" customWidth="1"/>
  </cols>
  <sheetData>
    <row r="1" spans="1:36" s="2" customFormat="1" ht="90" x14ac:dyDescent="0.25">
      <c r="A1" s="1" t="s">
        <v>28</v>
      </c>
      <c r="B1" s="1" t="s">
        <v>29</v>
      </c>
      <c r="C1" s="1" t="s">
        <v>0</v>
      </c>
      <c r="D1" s="1" t="s">
        <v>30</v>
      </c>
      <c r="E1" s="1" t="s">
        <v>80</v>
      </c>
      <c r="F1" s="1" t="s">
        <v>81</v>
      </c>
      <c r="G1" s="1" t="s">
        <v>83</v>
      </c>
      <c r="H1" s="1" t="s">
        <v>82</v>
      </c>
      <c r="I1" s="1" t="s">
        <v>87</v>
      </c>
      <c r="J1" s="1" t="s">
        <v>79</v>
      </c>
      <c r="K1" s="1" t="s">
        <v>89</v>
      </c>
      <c r="L1" s="1" t="s">
        <v>90</v>
      </c>
      <c r="M1" s="1" t="s">
        <v>55</v>
      </c>
      <c r="N1" s="1" t="s">
        <v>56</v>
      </c>
      <c r="O1" s="1" t="s">
        <v>57</v>
      </c>
      <c r="P1" s="2" t="s">
        <v>58</v>
      </c>
      <c r="Q1" s="2" t="s">
        <v>59</v>
      </c>
      <c r="R1" s="2" t="s">
        <v>60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1" t="s">
        <v>70</v>
      </c>
      <c r="Z1" s="1" t="s">
        <v>71</v>
      </c>
      <c r="AA1" s="1" t="s">
        <v>72</v>
      </c>
      <c r="AB1" s="2" t="s">
        <v>73</v>
      </c>
      <c r="AC1" s="2" t="s">
        <v>74</v>
      </c>
      <c r="AD1" s="2" t="s">
        <v>75</v>
      </c>
      <c r="AE1" s="2" t="s">
        <v>76</v>
      </c>
      <c r="AF1" s="2" t="s">
        <v>77</v>
      </c>
      <c r="AG1" s="2" t="s">
        <v>78</v>
      </c>
      <c r="AH1" s="2" t="s">
        <v>61</v>
      </c>
      <c r="AI1" s="2" t="s">
        <v>62</v>
      </c>
      <c r="AJ1" s="2" t="s">
        <v>63</v>
      </c>
    </row>
    <row r="2" spans="1:36" x14ac:dyDescent="0.25">
      <c r="A2" t="s">
        <v>10</v>
      </c>
      <c r="B2" t="s">
        <v>11</v>
      </c>
      <c r="C2" t="s">
        <v>12</v>
      </c>
      <c r="D2" t="s">
        <v>8</v>
      </c>
      <c r="E2" t="s">
        <v>84</v>
      </c>
      <c r="F2" t="s">
        <v>85</v>
      </c>
      <c r="G2">
        <v>0.31</v>
      </c>
      <c r="H2" t="s">
        <v>86</v>
      </c>
      <c r="I2">
        <v>350</v>
      </c>
      <c r="J2">
        <v>5.3E-3</v>
      </c>
      <c r="K2">
        <v>0</v>
      </c>
      <c r="L2">
        <v>0</v>
      </c>
      <c r="M2">
        <v>295</v>
      </c>
      <c r="N2">
        <v>213</v>
      </c>
      <c r="O2">
        <v>273</v>
      </c>
      <c r="P2">
        <v>21.9</v>
      </c>
      <c r="Q2">
        <v>19</v>
      </c>
      <c r="R2">
        <v>22.2</v>
      </c>
      <c r="V2">
        <v>13000</v>
      </c>
      <c r="W2">
        <v>10700</v>
      </c>
      <c r="X2">
        <v>11800</v>
      </c>
      <c r="Y2">
        <v>10.199999999999999</v>
      </c>
      <c r="Z2">
        <v>10.3</v>
      </c>
      <c r="AA2">
        <v>7.9</v>
      </c>
      <c r="AB2">
        <v>1.3</v>
      </c>
      <c r="AC2">
        <v>1.5</v>
      </c>
      <c r="AD2">
        <v>1.2</v>
      </c>
      <c r="AH2">
        <v>7750</v>
      </c>
      <c r="AI2">
        <v>7110</v>
      </c>
      <c r="AJ2">
        <v>6930</v>
      </c>
    </row>
    <row r="3" spans="1:36" x14ac:dyDescent="0.25">
      <c r="A3" t="s">
        <v>10</v>
      </c>
      <c r="B3" t="s">
        <v>11</v>
      </c>
      <c r="C3" t="s">
        <v>12</v>
      </c>
      <c r="D3" t="s">
        <v>13</v>
      </c>
      <c r="E3" t="s">
        <v>84</v>
      </c>
      <c r="F3" t="s">
        <v>88</v>
      </c>
      <c r="G3">
        <v>0.34</v>
      </c>
      <c r="H3" t="s">
        <v>86</v>
      </c>
      <c r="I3">
        <v>310</v>
      </c>
      <c r="J3">
        <v>5.7000000000000002E-3</v>
      </c>
      <c r="K3">
        <v>0</v>
      </c>
      <c r="L3">
        <v>0</v>
      </c>
      <c r="M3">
        <v>313</v>
      </c>
      <c r="N3">
        <v>296</v>
      </c>
      <c r="O3">
        <v>318</v>
      </c>
      <c r="P3">
        <v>18.2</v>
      </c>
      <c r="Q3">
        <v>18.5</v>
      </c>
      <c r="R3">
        <v>18.5</v>
      </c>
      <c r="S3">
        <v>0.31</v>
      </c>
      <c r="U3">
        <v>0.31</v>
      </c>
      <c r="V3">
        <v>15900</v>
      </c>
      <c r="W3">
        <v>16100</v>
      </c>
      <c r="Y3">
        <v>6.9</v>
      </c>
      <c r="AB3">
        <v>1.25</v>
      </c>
    </row>
    <row r="4" spans="1:36" x14ac:dyDescent="0.25">
      <c r="A4" t="s">
        <v>10</v>
      </c>
      <c r="B4" t="s">
        <v>11</v>
      </c>
      <c r="C4" t="s">
        <v>12</v>
      </c>
      <c r="D4" t="s">
        <v>16</v>
      </c>
      <c r="E4" t="s">
        <v>84</v>
      </c>
      <c r="F4" t="s">
        <v>88</v>
      </c>
      <c r="G4">
        <v>0.34</v>
      </c>
      <c r="H4" t="s">
        <v>86</v>
      </c>
      <c r="I4">
        <v>310</v>
      </c>
      <c r="J4">
        <v>5.4000000000000003E-3</v>
      </c>
      <c r="K4">
        <v>0.64</v>
      </c>
      <c r="L4">
        <v>2.2000000000000002</v>
      </c>
      <c r="M4">
        <v>303</v>
      </c>
      <c r="N4">
        <v>291</v>
      </c>
      <c r="O4">
        <v>304</v>
      </c>
      <c r="P4">
        <v>19.3</v>
      </c>
      <c r="Q4">
        <v>20.100000000000001</v>
      </c>
      <c r="R4">
        <v>19.600000000000001</v>
      </c>
      <c r="S4">
        <v>0.32</v>
      </c>
      <c r="U4">
        <v>0.28799999999999998</v>
      </c>
      <c r="V4">
        <v>13900</v>
      </c>
      <c r="W4">
        <v>13500</v>
      </c>
      <c r="X4">
        <v>14600</v>
      </c>
      <c r="Y4">
        <v>5.47</v>
      </c>
      <c r="AB4">
        <v>1.23</v>
      </c>
    </row>
    <row r="5" spans="1:36" x14ac:dyDescent="0.25">
      <c r="A5" t="s">
        <v>10</v>
      </c>
      <c r="B5" t="s">
        <v>11</v>
      </c>
      <c r="C5" t="s">
        <v>12</v>
      </c>
      <c r="D5" t="s">
        <v>17</v>
      </c>
      <c r="E5" t="s">
        <v>84</v>
      </c>
      <c r="F5" t="s">
        <v>88</v>
      </c>
      <c r="G5">
        <v>0.31</v>
      </c>
      <c r="H5" t="s">
        <v>86</v>
      </c>
      <c r="I5">
        <v>310</v>
      </c>
      <c r="J5">
        <v>1.0999999999999999E-2</v>
      </c>
      <c r="K5">
        <v>0.53</v>
      </c>
      <c r="L5">
        <v>1</v>
      </c>
      <c r="M5">
        <v>293</v>
      </c>
      <c r="N5">
        <v>281</v>
      </c>
      <c r="O5">
        <v>300</v>
      </c>
      <c r="P5">
        <v>20</v>
      </c>
      <c r="Q5">
        <v>19.2</v>
      </c>
      <c r="R5">
        <v>19</v>
      </c>
      <c r="S5">
        <v>0.28599999999999998</v>
      </c>
      <c r="U5">
        <v>0.29199999999999998</v>
      </c>
      <c r="V5">
        <v>14300</v>
      </c>
      <c r="W5">
        <v>14800</v>
      </c>
      <c r="Y5">
        <v>6</v>
      </c>
      <c r="AB5">
        <v>1.28</v>
      </c>
    </row>
    <row r="6" spans="1:36" x14ac:dyDescent="0.25">
      <c r="A6" t="s">
        <v>10</v>
      </c>
      <c r="B6" t="s">
        <v>11</v>
      </c>
      <c r="C6" t="s">
        <v>12</v>
      </c>
      <c r="D6" t="s">
        <v>17</v>
      </c>
      <c r="E6" t="s">
        <v>84</v>
      </c>
      <c r="F6" t="s">
        <v>88</v>
      </c>
      <c r="G6">
        <v>0.31</v>
      </c>
      <c r="H6" t="s">
        <v>86</v>
      </c>
      <c r="I6">
        <v>310</v>
      </c>
      <c r="J6">
        <v>1.0999999999999999E-2</v>
      </c>
      <c r="K6">
        <v>0.78</v>
      </c>
      <c r="L6">
        <v>0.79</v>
      </c>
      <c r="M6">
        <v>206</v>
      </c>
      <c r="N6">
        <v>221</v>
      </c>
      <c r="O6">
        <v>207</v>
      </c>
      <c r="P6">
        <v>19.899999999999999</v>
      </c>
      <c r="Q6">
        <v>22.9</v>
      </c>
      <c r="R6">
        <v>21.6</v>
      </c>
      <c r="V6">
        <v>11200</v>
      </c>
      <c r="W6">
        <v>9870</v>
      </c>
    </row>
    <row r="7" spans="1:36" x14ac:dyDescent="0.25">
      <c r="A7" t="s">
        <v>10</v>
      </c>
      <c r="B7" t="s">
        <v>11</v>
      </c>
      <c r="C7" t="s">
        <v>12</v>
      </c>
      <c r="D7" t="s">
        <v>14</v>
      </c>
      <c r="E7" t="s">
        <v>84</v>
      </c>
      <c r="F7" t="s">
        <v>91</v>
      </c>
      <c r="G7">
        <v>0.42</v>
      </c>
      <c r="H7" t="s">
        <v>86</v>
      </c>
      <c r="I7">
        <v>350</v>
      </c>
      <c r="J7">
        <v>5.4999999999999997E-3</v>
      </c>
      <c r="K7">
        <v>0</v>
      </c>
      <c r="L7">
        <v>1</v>
      </c>
      <c r="M7">
        <v>314</v>
      </c>
      <c r="N7">
        <v>296</v>
      </c>
      <c r="O7">
        <v>321</v>
      </c>
      <c r="P7">
        <v>22.4</v>
      </c>
      <c r="Q7">
        <v>19.5</v>
      </c>
      <c r="R7">
        <v>20.399999999999999</v>
      </c>
      <c r="Y7">
        <v>8.9600000000000009</v>
      </c>
      <c r="AA7">
        <v>8.84</v>
      </c>
      <c r="AB7">
        <v>1.29</v>
      </c>
      <c r="AD7">
        <v>1.23</v>
      </c>
    </row>
    <row r="8" spans="1:36" x14ac:dyDescent="0.25">
      <c r="A8" t="s">
        <v>10</v>
      </c>
      <c r="B8" t="s">
        <v>11</v>
      </c>
      <c r="C8" t="s">
        <v>12</v>
      </c>
      <c r="D8" t="s">
        <v>9</v>
      </c>
      <c r="E8" t="s">
        <v>84</v>
      </c>
      <c r="F8" t="s">
        <v>91</v>
      </c>
      <c r="G8">
        <v>0.34</v>
      </c>
      <c r="H8" t="s">
        <v>86</v>
      </c>
      <c r="I8">
        <v>355</v>
      </c>
      <c r="J8">
        <v>5.7000000000000002E-3</v>
      </c>
      <c r="K8">
        <v>0</v>
      </c>
      <c r="L8">
        <v>1.1000000000000001</v>
      </c>
      <c r="M8">
        <v>273</v>
      </c>
      <c r="N8">
        <v>262</v>
      </c>
      <c r="O8">
        <v>309</v>
      </c>
      <c r="P8">
        <v>19.7</v>
      </c>
      <c r="Q8">
        <v>19</v>
      </c>
      <c r="R8">
        <v>20.100000000000001</v>
      </c>
      <c r="S8">
        <v>0.317</v>
      </c>
      <c r="T8">
        <v>0.27900000000000003</v>
      </c>
      <c r="U8">
        <v>0.28000000000000003</v>
      </c>
      <c r="V8">
        <v>13100</v>
      </c>
      <c r="W8">
        <v>12800</v>
      </c>
      <c r="X8">
        <v>14800</v>
      </c>
      <c r="Y8">
        <v>9.6</v>
      </c>
      <c r="Z8">
        <v>9.5</v>
      </c>
      <c r="AA8">
        <v>8.8000000000000007</v>
      </c>
      <c r="AB8">
        <v>1.35</v>
      </c>
      <c r="AC8">
        <v>1.35</v>
      </c>
      <c r="AD8">
        <v>1.22</v>
      </c>
      <c r="AH8">
        <v>7200</v>
      </c>
      <c r="AI8">
        <v>6700</v>
      </c>
      <c r="AJ8">
        <v>7600</v>
      </c>
    </row>
    <row r="9" spans="1:36" x14ac:dyDescent="0.25">
      <c r="A9" t="s">
        <v>10</v>
      </c>
      <c r="B9" t="s">
        <v>11</v>
      </c>
      <c r="C9" t="s">
        <v>12</v>
      </c>
      <c r="D9" t="s">
        <v>15</v>
      </c>
      <c r="E9" t="s">
        <v>84</v>
      </c>
      <c r="F9" t="s">
        <v>91</v>
      </c>
      <c r="G9">
        <v>0.39</v>
      </c>
      <c r="H9" t="s">
        <v>86</v>
      </c>
      <c r="I9">
        <v>400</v>
      </c>
      <c r="J9">
        <v>5.1999999999999998E-3</v>
      </c>
      <c r="K9">
        <v>0</v>
      </c>
      <c r="L9">
        <v>1</v>
      </c>
      <c r="M9">
        <v>258</v>
      </c>
      <c r="N9">
        <v>231</v>
      </c>
      <c r="O9">
        <v>261</v>
      </c>
      <c r="P9">
        <v>19.3</v>
      </c>
      <c r="Q9">
        <v>19.2</v>
      </c>
      <c r="R9">
        <v>19.7</v>
      </c>
      <c r="Y9">
        <v>7.76</v>
      </c>
      <c r="Z9">
        <v>6.65</v>
      </c>
      <c r="AA9">
        <v>4.3899999999999997</v>
      </c>
      <c r="AB9">
        <v>1.35</v>
      </c>
      <c r="AC9">
        <v>1.44</v>
      </c>
      <c r="AD9">
        <v>1.21</v>
      </c>
    </row>
    <row r="10" spans="1:36" x14ac:dyDescent="0.25">
      <c r="A10" t="s">
        <v>10</v>
      </c>
      <c r="B10" t="s">
        <v>11</v>
      </c>
      <c r="C10" t="s">
        <v>12</v>
      </c>
      <c r="D10" t="s">
        <v>18</v>
      </c>
      <c r="E10" t="s">
        <v>84</v>
      </c>
      <c r="F10" t="s">
        <v>91</v>
      </c>
      <c r="G10">
        <v>0.31</v>
      </c>
      <c r="H10" t="s">
        <v>86</v>
      </c>
      <c r="I10">
        <v>350</v>
      </c>
      <c r="J10">
        <v>5.0000000000000001E-3</v>
      </c>
      <c r="K10">
        <v>0</v>
      </c>
      <c r="L10">
        <v>0</v>
      </c>
      <c r="M10">
        <v>210</v>
      </c>
      <c r="N10">
        <v>196</v>
      </c>
      <c r="O10">
        <v>202</v>
      </c>
      <c r="P10">
        <v>17.8</v>
      </c>
      <c r="Q10">
        <v>16.3</v>
      </c>
      <c r="R10">
        <v>17.399999999999999</v>
      </c>
    </row>
    <row r="11" spans="1:36" x14ac:dyDescent="0.25">
      <c r="A11" t="s">
        <v>10</v>
      </c>
      <c r="B11" t="s">
        <v>11</v>
      </c>
      <c r="C11" t="s">
        <v>12</v>
      </c>
      <c r="D11" t="s">
        <v>19</v>
      </c>
      <c r="E11" t="s">
        <v>84</v>
      </c>
      <c r="F11" t="s">
        <v>91</v>
      </c>
      <c r="G11">
        <v>0.38</v>
      </c>
      <c r="H11" t="s">
        <v>86</v>
      </c>
      <c r="I11">
        <v>350</v>
      </c>
      <c r="J11">
        <v>5.8999999999999999E-3</v>
      </c>
      <c r="K11">
        <v>0</v>
      </c>
      <c r="L11">
        <v>0</v>
      </c>
      <c r="M11">
        <v>290</v>
      </c>
      <c r="N11">
        <v>261</v>
      </c>
      <c r="O11">
        <v>315</v>
      </c>
      <c r="P11">
        <v>18.899999999999999</v>
      </c>
      <c r="Q11">
        <v>21.1</v>
      </c>
      <c r="R11">
        <v>20.8</v>
      </c>
      <c r="Y11">
        <v>8</v>
      </c>
      <c r="AB11">
        <v>1.2</v>
      </c>
    </row>
    <row r="12" spans="1:36" x14ac:dyDescent="0.25">
      <c r="A12" t="s">
        <v>10</v>
      </c>
      <c r="B12" t="s">
        <v>11</v>
      </c>
      <c r="C12" t="s">
        <v>12</v>
      </c>
      <c r="D12" t="s">
        <v>20</v>
      </c>
      <c r="E12" t="s">
        <v>84</v>
      </c>
      <c r="F12" t="s">
        <v>85</v>
      </c>
      <c r="G12">
        <v>0.3</v>
      </c>
      <c r="H12" t="s">
        <v>86</v>
      </c>
      <c r="I12">
        <v>350</v>
      </c>
      <c r="J12">
        <v>5.1000000000000004E-3</v>
      </c>
      <c r="K12">
        <v>0</v>
      </c>
      <c r="L12">
        <v>0</v>
      </c>
      <c r="M12">
        <v>211</v>
      </c>
      <c r="N12">
        <v>199</v>
      </c>
      <c r="O12">
        <v>236</v>
      </c>
      <c r="P12">
        <v>19.600000000000001</v>
      </c>
      <c r="Q12">
        <v>20.8</v>
      </c>
      <c r="R12">
        <v>22.6</v>
      </c>
      <c r="S12">
        <v>0.318</v>
      </c>
      <c r="T12">
        <v>0.318</v>
      </c>
      <c r="U12">
        <v>0.312</v>
      </c>
      <c r="V12">
        <v>10400</v>
      </c>
      <c r="W12">
        <v>8600</v>
      </c>
      <c r="X12">
        <v>9900</v>
      </c>
      <c r="Y12">
        <v>5.66</v>
      </c>
      <c r="Z12">
        <v>4.76</v>
      </c>
      <c r="AA12">
        <v>3.81</v>
      </c>
      <c r="AB12">
        <v>1.34</v>
      </c>
      <c r="AC12">
        <v>1.69</v>
      </c>
      <c r="AD12">
        <v>1.37</v>
      </c>
      <c r="AH12">
        <v>3900</v>
      </c>
      <c r="AI12">
        <v>2760</v>
      </c>
      <c r="AJ12">
        <v>3640</v>
      </c>
    </row>
    <row r="13" spans="1:36" x14ac:dyDescent="0.25">
      <c r="A13" t="s">
        <v>10</v>
      </c>
      <c r="B13" t="s">
        <v>11</v>
      </c>
      <c r="C13" t="s">
        <v>12</v>
      </c>
      <c r="D13" t="s">
        <v>21</v>
      </c>
      <c r="E13" t="s">
        <v>84</v>
      </c>
      <c r="F13" t="s">
        <v>91</v>
      </c>
      <c r="G13">
        <v>0.34</v>
      </c>
      <c r="H13" t="s">
        <v>86</v>
      </c>
      <c r="I13">
        <v>250</v>
      </c>
      <c r="J13">
        <v>5.3E-3</v>
      </c>
      <c r="K13">
        <v>0</v>
      </c>
      <c r="L13">
        <v>0</v>
      </c>
      <c r="M13">
        <v>376</v>
      </c>
      <c r="P13">
        <v>24.6</v>
      </c>
      <c r="V13">
        <v>14500</v>
      </c>
    </row>
    <row r="14" spans="1:36" x14ac:dyDescent="0.25">
      <c r="A14" t="s">
        <v>10</v>
      </c>
      <c r="B14" t="s">
        <v>11</v>
      </c>
      <c r="C14" t="s">
        <v>12</v>
      </c>
      <c r="D14" t="s">
        <v>22</v>
      </c>
      <c r="E14" t="s">
        <v>84</v>
      </c>
      <c r="F14" t="s">
        <v>91</v>
      </c>
      <c r="G14">
        <v>0.34</v>
      </c>
      <c r="H14" t="s">
        <v>86</v>
      </c>
      <c r="I14">
        <v>350</v>
      </c>
      <c r="J14">
        <v>6.4000000000000003E-3</v>
      </c>
      <c r="K14">
        <v>0</v>
      </c>
      <c r="L14">
        <v>0</v>
      </c>
      <c r="M14">
        <v>360</v>
      </c>
      <c r="P14">
        <v>24.3</v>
      </c>
      <c r="V14">
        <v>14100</v>
      </c>
    </row>
    <row r="15" spans="1:36" x14ac:dyDescent="0.25">
      <c r="A15" t="s">
        <v>10</v>
      </c>
      <c r="B15" t="s">
        <v>11</v>
      </c>
      <c r="C15" t="s">
        <v>12</v>
      </c>
      <c r="D15" t="s">
        <v>23</v>
      </c>
      <c r="E15" t="s">
        <v>84</v>
      </c>
      <c r="F15" t="s">
        <v>91</v>
      </c>
      <c r="G15">
        <v>0.36</v>
      </c>
      <c r="H15" t="s">
        <v>86</v>
      </c>
      <c r="I15">
        <v>350</v>
      </c>
      <c r="J15">
        <v>7.6E-3</v>
      </c>
      <c r="K15">
        <v>0</v>
      </c>
      <c r="L15">
        <v>0.5</v>
      </c>
      <c r="M15">
        <v>384</v>
      </c>
      <c r="N15">
        <v>369</v>
      </c>
      <c r="O15">
        <v>357</v>
      </c>
      <c r="P15">
        <v>23.5</v>
      </c>
      <c r="Q15">
        <v>23.4</v>
      </c>
      <c r="R15">
        <v>23</v>
      </c>
      <c r="S15">
        <v>0.311</v>
      </c>
      <c r="T15">
        <v>0.30299999999999999</v>
      </c>
      <c r="U15">
        <v>0.31900000000000001</v>
      </c>
    </row>
    <row r="16" spans="1:36" x14ac:dyDescent="0.25">
      <c r="A16" t="s">
        <v>10</v>
      </c>
      <c r="B16" t="s">
        <v>11</v>
      </c>
      <c r="C16" t="s">
        <v>12</v>
      </c>
      <c r="D16" t="s">
        <v>24</v>
      </c>
      <c r="E16" t="s">
        <v>84</v>
      </c>
      <c r="F16" t="s">
        <v>91</v>
      </c>
      <c r="G16">
        <v>0.31</v>
      </c>
      <c r="H16" t="s">
        <v>86</v>
      </c>
      <c r="I16">
        <v>350</v>
      </c>
      <c r="J16">
        <v>5.1999999999999998E-3</v>
      </c>
      <c r="K16">
        <v>0.14000000000000001</v>
      </c>
      <c r="L16">
        <v>0.67</v>
      </c>
      <c r="M16">
        <v>378</v>
      </c>
      <c r="N16">
        <v>384</v>
      </c>
      <c r="O16">
        <v>353</v>
      </c>
      <c r="P16">
        <v>24.5</v>
      </c>
      <c r="Q16">
        <v>24.1</v>
      </c>
      <c r="R16">
        <v>24.7</v>
      </c>
      <c r="V16">
        <v>14100</v>
      </c>
      <c r="W16">
        <v>14700</v>
      </c>
      <c r="X16">
        <v>12200</v>
      </c>
      <c r="Y16">
        <v>10.5</v>
      </c>
      <c r="Z16">
        <v>12.1</v>
      </c>
      <c r="AA16">
        <v>6.2</v>
      </c>
      <c r="AB16">
        <v>1.26</v>
      </c>
      <c r="AC16">
        <v>1.54</v>
      </c>
      <c r="AD16">
        <v>1.08</v>
      </c>
      <c r="AH16">
        <v>8510</v>
      </c>
      <c r="AI16">
        <v>7970</v>
      </c>
      <c r="AJ16">
        <v>6290</v>
      </c>
    </row>
    <row r="17" spans="1:36" x14ac:dyDescent="0.25">
      <c r="A17" t="s">
        <v>10</v>
      </c>
      <c r="B17" t="s">
        <v>11</v>
      </c>
      <c r="C17" t="s">
        <v>12</v>
      </c>
      <c r="D17" t="s">
        <v>25</v>
      </c>
      <c r="E17" t="s">
        <v>84</v>
      </c>
      <c r="F17" t="s">
        <v>91</v>
      </c>
      <c r="G17">
        <v>0.35</v>
      </c>
      <c r="H17" t="s">
        <v>86</v>
      </c>
      <c r="I17">
        <v>350</v>
      </c>
      <c r="J17">
        <v>5.5999999999999999E-3</v>
      </c>
      <c r="K17">
        <v>0</v>
      </c>
      <c r="L17">
        <v>0.32</v>
      </c>
      <c r="M17">
        <v>327</v>
      </c>
      <c r="N17">
        <v>306</v>
      </c>
      <c r="O17">
        <v>327</v>
      </c>
      <c r="P17">
        <v>19.899999999999999</v>
      </c>
      <c r="Q17">
        <v>20</v>
      </c>
      <c r="R17">
        <v>20.100000000000001</v>
      </c>
      <c r="V17">
        <v>15300</v>
      </c>
      <c r="W17">
        <v>14300</v>
      </c>
      <c r="X17">
        <v>15000</v>
      </c>
      <c r="Y17">
        <v>11.3</v>
      </c>
      <c r="Z17">
        <v>12.7</v>
      </c>
      <c r="AA17">
        <v>5.64</v>
      </c>
      <c r="AB17">
        <v>1.36</v>
      </c>
      <c r="AC17">
        <v>1.53</v>
      </c>
      <c r="AD17">
        <v>1.21</v>
      </c>
      <c r="AH17">
        <v>8820</v>
      </c>
      <c r="AI17">
        <v>8700</v>
      </c>
      <c r="AJ17">
        <v>4940</v>
      </c>
    </row>
    <row r="18" spans="1:36" x14ac:dyDescent="0.25">
      <c r="A18" t="s">
        <v>10</v>
      </c>
      <c r="B18" t="s">
        <v>11</v>
      </c>
      <c r="C18" t="s">
        <v>12</v>
      </c>
      <c r="D18" t="s">
        <v>26</v>
      </c>
      <c r="E18" t="s">
        <v>84</v>
      </c>
      <c r="F18" t="s">
        <v>85</v>
      </c>
      <c r="G18">
        <v>0.42</v>
      </c>
      <c r="H18" t="s">
        <v>86</v>
      </c>
      <c r="I18">
        <v>350</v>
      </c>
      <c r="J18">
        <v>5.3E-3</v>
      </c>
      <c r="K18">
        <v>0</v>
      </c>
      <c r="L18">
        <v>1</v>
      </c>
      <c r="M18">
        <v>231</v>
      </c>
      <c r="N18">
        <v>170</v>
      </c>
      <c r="O18">
        <v>258</v>
      </c>
      <c r="P18">
        <v>22</v>
      </c>
      <c r="Q18">
        <v>20.7</v>
      </c>
      <c r="R18">
        <v>20.9</v>
      </c>
      <c r="Y18">
        <v>5.71</v>
      </c>
      <c r="Z18">
        <v>4.76</v>
      </c>
      <c r="AA18">
        <v>2.4</v>
      </c>
      <c r="AB18">
        <v>1.3</v>
      </c>
      <c r="AC18">
        <v>1.37</v>
      </c>
      <c r="AD18">
        <v>0.93400000000000005</v>
      </c>
    </row>
    <row r="19" spans="1:36" x14ac:dyDescent="0.25">
      <c r="A19" t="s">
        <v>10</v>
      </c>
      <c r="B19" t="s">
        <v>11</v>
      </c>
      <c r="C19" t="s">
        <v>12</v>
      </c>
      <c r="D19" t="s">
        <v>27</v>
      </c>
      <c r="E19" t="s">
        <v>84</v>
      </c>
      <c r="F19" t="s">
        <v>85</v>
      </c>
      <c r="G19">
        <v>0.35</v>
      </c>
      <c r="H19" t="s">
        <v>86</v>
      </c>
      <c r="I19">
        <v>260</v>
      </c>
      <c r="J19">
        <v>5.4999999999999997E-3</v>
      </c>
      <c r="K19">
        <v>0</v>
      </c>
      <c r="L19">
        <v>0</v>
      </c>
      <c r="M19">
        <v>363</v>
      </c>
      <c r="N19">
        <v>383</v>
      </c>
      <c r="O19">
        <v>352</v>
      </c>
      <c r="P19">
        <v>24.6</v>
      </c>
      <c r="Q19">
        <v>25.1</v>
      </c>
      <c r="R19">
        <v>24.6</v>
      </c>
      <c r="V19">
        <v>14700</v>
      </c>
      <c r="W19">
        <v>15300</v>
      </c>
      <c r="X19">
        <v>14300</v>
      </c>
    </row>
    <row r="20" spans="1:36" x14ac:dyDescent="0.25">
      <c r="A20" t="s">
        <v>10</v>
      </c>
      <c r="B20" t="s">
        <v>31</v>
      </c>
      <c r="C20" t="s">
        <v>6</v>
      </c>
      <c r="D20" t="s">
        <v>32</v>
      </c>
      <c r="E20" t="s">
        <v>84</v>
      </c>
      <c r="F20" t="s">
        <v>85</v>
      </c>
      <c r="G20">
        <v>0.34</v>
      </c>
      <c r="H20" t="s">
        <v>86</v>
      </c>
      <c r="I20">
        <v>355</v>
      </c>
      <c r="J20">
        <v>7.7999999999999996E-3</v>
      </c>
      <c r="K20">
        <v>0.5</v>
      </c>
      <c r="L20">
        <v>1.2</v>
      </c>
      <c r="M20">
        <v>91</v>
      </c>
      <c r="N20">
        <v>83</v>
      </c>
      <c r="O20">
        <v>109</v>
      </c>
      <c r="P20">
        <v>9.1</v>
      </c>
      <c r="Q20">
        <v>10</v>
      </c>
      <c r="R20">
        <v>9.3000000000000007</v>
      </c>
      <c r="V20">
        <v>9780</v>
      </c>
      <c r="W20">
        <v>8990</v>
      </c>
      <c r="X20">
        <v>11300</v>
      </c>
      <c r="Y20">
        <v>88</v>
      </c>
      <c r="Z20">
        <v>80</v>
      </c>
      <c r="AA20">
        <v>94</v>
      </c>
      <c r="AB20">
        <v>9</v>
      </c>
      <c r="AC20">
        <v>9.1</v>
      </c>
      <c r="AD20">
        <v>8.1</v>
      </c>
      <c r="AH20">
        <v>9630</v>
      </c>
      <c r="AI20">
        <v>9100</v>
      </c>
      <c r="AJ20">
        <v>11400</v>
      </c>
    </row>
    <row r="21" spans="1:36" x14ac:dyDescent="0.25">
      <c r="A21" t="s">
        <v>10</v>
      </c>
      <c r="B21" t="s">
        <v>31</v>
      </c>
      <c r="C21" t="s">
        <v>6</v>
      </c>
      <c r="D21" t="s">
        <v>13</v>
      </c>
      <c r="E21" t="s">
        <v>84</v>
      </c>
      <c r="F21" t="s">
        <v>88</v>
      </c>
      <c r="G21">
        <v>0.4</v>
      </c>
      <c r="H21" t="s">
        <v>86</v>
      </c>
      <c r="I21">
        <v>310</v>
      </c>
      <c r="J21">
        <v>8.0000000000000002E-3</v>
      </c>
      <c r="K21">
        <v>0</v>
      </c>
      <c r="L21">
        <v>0</v>
      </c>
      <c r="M21">
        <v>132</v>
      </c>
      <c r="N21">
        <v>110</v>
      </c>
      <c r="P21">
        <v>9.67</v>
      </c>
      <c r="Q21">
        <v>9.98</v>
      </c>
      <c r="S21">
        <v>0.57999999999999996</v>
      </c>
      <c r="V21">
        <v>13700</v>
      </c>
      <c r="W21">
        <v>11000</v>
      </c>
      <c r="Y21">
        <v>128</v>
      </c>
      <c r="Z21">
        <v>113</v>
      </c>
      <c r="AB21">
        <v>9.5</v>
      </c>
      <c r="AC21">
        <v>9.51</v>
      </c>
      <c r="AH21">
        <v>13400</v>
      </c>
      <c r="AI21">
        <v>11700</v>
      </c>
    </row>
    <row r="22" spans="1:36" x14ac:dyDescent="0.25">
      <c r="A22" t="s">
        <v>10</v>
      </c>
      <c r="B22" t="s">
        <v>31</v>
      </c>
      <c r="C22" t="s">
        <v>6</v>
      </c>
      <c r="D22" t="s">
        <v>33</v>
      </c>
      <c r="E22" t="s">
        <v>84</v>
      </c>
      <c r="F22" t="s">
        <v>88</v>
      </c>
      <c r="G22">
        <v>0.39</v>
      </c>
      <c r="H22" t="s">
        <v>86</v>
      </c>
      <c r="I22">
        <v>310</v>
      </c>
      <c r="J22">
        <v>8.5000000000000006E-3</v>
      </c>
      <c r="K22">
        <v>0</v>
      </c>
      <c r="L22">
        <v>0</v>
      </c>
      <c r="M22">
        <v>131</v>
      </c>
      <c r="N22">
        <v>126</v>
      </c>
      <c r="O22">
        <v>134</v>
      </c>
      <c r="P22">
        <v>8.65</v>
      </c>
      <c r="Q22">
        <v>8.1</v>
      </c>
      <c r="R22">
        <v>9.61</v>
      </c>
      <c r="S22">
        <v>4.5999999999999999E-2</v>
      </c>
      <c r="U22">
        <v>5.3999999999999999E-2</v>
      </c>
      <c r="V22">
        <v>14300</v>
      </c>
      <c r="W22">
        <v>15600</v>
      </c>
      <c r="X22">
        <v>10500</v>
      </c>
      <c r="Y22">
        <v>104</v>
      </c>
      <c r="Z22">
        <v>128</v>
      </c>
      <c r="AA22">
        <v>99.4</v>
      </c>
      <c r="AB22">
        <v>8.92</v>
      </c>
      <c r="AC22">
        <v>9.49</v>
      </c>
      <c r="AD22">
        <v>9.07</v>
      </c>
      <c r="AH22">
        <v>10900</v>
      </c>
    </row>
    <row r="23" spans="1:36" x14ac:dyDescent="0.25">
      <c r="A23" t="s">
        <v>10</v>
      </c>
      <c r="B23" t="s">
        <v>31</v>
      </c>
      <c r="C23" t="s">
        <v>6</v>
      </c>
      <c r="D23" t="s">
        <v>34</v>
      </c>
      <c r="E23" t="s">
        <v>84</v>
      </c>
      <c r="F23" t="s">
        <v>88</v>
      </c>
      <c r="G23">
        <v>0.41</v>
      </c>
      <c r="H23" t="s">
        <v>86</v>
      </c>
      <c r="I23">
        <v>290</v>
      </c>
      <c r="J23">
        <v>8.6999999999999994E-3</v>
      </c>
      <c r="K23">
        <v>0</v>
      </c>
      <c r="L23">
        <v>1.9</v>
      </c>
      <c r="M23">
        <v>111</v>
      </c>
      <c r="P23">
        <v>9.02</v>
      </c>
      <c r="V23">
        <v>11600</v>
      </c>
      <c r="AA23" t="s">
        <v>92</v>
      </c>
    </row>
    <row r="24" spans="1:36" x14ac:dyDescent="0.25">
      <c r="A24" t="s">
        <v>10</v>
      </c>
      <c r="B24" t="s">
        <v>31</v>
      </c>
      <c r="C24" t="s">
        <v>39</v>
      </c>
      <c r="D24" t="s">
        <v>38</v>
      </c>
      <c r="E24" t="s">
        <v>84</v>
      </c>
      <c r="F24" t="s">
        <v>91</v>
      </c>
      <c r="G24">
        <v>0.39</v>
      </c>
      <c r="H24" t="s">
        <v>86</v>
      </c>
      <c r="I24">
        <v>350</v>
      </c>
      <c r="J24">
        <v>8.0000000000000002E-3</v>
      </c>
      <c r="K24">
        <v>0</v>
      </c>
      <c r="L24">
        <v>0</v>
      </c>
      <c r="M24">
        <v>124</v>
      </c>
      <c r="N24">
        <v>112</v>
      </c>
      <c r="O24">
        <v>126</v>
      </c>
      <c r="P24">
        <v>9.8000000000000007</v>
      </c>
      <c r="Q24">
        <v>10.5</v>
      </c>
      <c r="R24">
        <v>10.1</v>
      </c>
    </row>
    <row r="25" spans="1:36" x14ac:dyDescent="0.25">
      <c r="A25" t="s">
        <v>10</v>
      </c>
      <c r="B25" t="s">
        <v>31</v>
      </c>
      <c r="C25" t="s">
        <v>39</v>
      </c>
      <c r="D25" t="s">
        <v>41</v>
      </c>
      <c r="E25" t="s">
        <v>84</v>
      </c>
      <c r="F25" t="s">
        <v>91</v>
      </c>
      <c r="G25">
        <v>0.34</v>
      </c>
      <c r="H25" t="s">
        <v>86</v>
      </c>
      <c r="I25">
        <v>350</v>
      </c>
      <c r="J25">
        <v>1.06E-2</v>
      </c>
      <c r="K25">
        <v>0</v>
      </c>
      <c r="L25">
        <v>0</v>
      </c>
      <c r="M25">
        <v>112</v>
      </c>
      <c r="P25">
        <v>9.73</v>
      </c>
    </row>
    <row r="26" spans="1:36" x14ac:dyDescent="0.25">
      <c r="A26" t="s">
        <v>10</v>
      </c>
      <c r="B26" t="s">
        <v>31</v>
      </c>
      <c r="C26" t="s">
        <v>39</v>
      </c>
      <c r="D26" t="s">
        <v>42</v>
      </c>
      <c r="E26" t="s">
        <v>84</v>
      </c>
      <c r="F26" t="s">
        <v>91</v>
      </c>
      <c r="G26">
        <v>0.56000000000000005</v>
      </c>
      <c r="H26" t="s">
        <v>86</v>
      </c>
      <c r="I26">
        <v>400</v>
      </c>
      <c r="J26">
        <v>1.49E-2</v>
      </c>
      <c r="K26">
        <v>0</v>
      </c>
      <c r="L26">
        <v>0.2</v>
      </c>
      <c r="M26">
        <v>114</v>
      </c>
      <c r="N26">
        <v>105</v>
      </c>
      <c r="O26">
        <v>117</v>
      </c>
      <c r="P26">
        <v>9.61</v>
      </c>
      <c r="Q26">
        <v>9.67</v>
      </c>
      <c r="R26">
        <v>10.5</v>
      </c>
    </row>
    <row r="27" spans="1:36" x14ac:dyDescent="0.25">
      <c r="A27" t="s">
        <v>10</v>
      </c>
      <c r="B27" t="s">
        <v>31</v>
      </c>
      <c r="C27" t="s">
        <v>39</v>
      </c>
      <c r="D27" t="s">
        <v>43</v>
      </c>
      <c r="E27" t="s">
        <v>84</v>
      </c>
      <c r="F27" t="s">
        <v>91</v>
      </c>
      <c r="G27">
        <v>0.28999999999999998</v>
      </c>
      <c r="H27" t="s">
        <v>86</v>
      </c>
      <c r="I27">
        <v>350</v>
      </c>
      <c r="J27">
        <v>1.04E-2</v>
      </c>
      <c r="K27">
        <v>0</v>
      </c>
      <c r="L27">
        <v>0</v>
      </c>
      <c r="M27">
        <v>106</v>
      </c>
      <c r="N27">
        <v>80.8</v>
      </c>
      <c r="O27">
        <v>95.8</v>
      </c>
      <c r="P27">
        <v>8.6999999999999993</v>
      </c>
      <c r="Q27">
        <v>8.48</v>
      </c>
      <c r="R27">
        <v>9.23</v>
      </c>
    </row>
    <row r="28" spans="1:36" x14ac:dyDescent="0.25">
      <c r="A28" t="s">
        <v>10</v>
      </c>
      <c r="B28" t="s">
        <v>31</v>
      </c>
      <c r="C28" t="s">
        <v>6</v>
      </c>
      <c r="D28" t="s">
        <v>35</v>
      </c>
      <c r="E28" t="s">
        <v>84</v>
      </c>
      <c r="F28" t="s">
        <v>91</v>
      </c>
      <c r="G28">
        <v>0.38</v>
      </c>
      <c r="H28" t="s">
        <v>86</v>
      </c>
      <c r="I28">
        <v>350</v>
      </c>
      <c r="J28">
        <v>1.15E-2</v>
      </c>
      <c r="K28">
        <v>0</v>
      </c>
      <c r="L28">
        <v>0</v>
      </c>
      <c r="M28">
        <v>134</v>
      </c>
      <c r="N28">
        <v>125</v>
      </c>
      <c r="O28">
        <v>130</v>
      </c>
      <c r="P28">
        <v>9.67</v>
      </c>
      <c r="Q28">
        <v>10.199999999999999</v>
      </c>
      <c r="R28">
        <v>10.8</v>
      </c>
    </row>
    <row r="29" spans="1:36" x14ac:dyDescent="0.25">
      <c r="A29" t="s">
        <v>10</v>
      </c>
      <c r="B29" t="s">
        <v>31</v>
      </c>
      <c r="C29" t="s">
        <v>40</v>
      </c>
      <c r="D29" t="s">
        <v>35</v>
      </c>
      <c r="E29" t="s">
        <v>84</v>
      </c>
      <c r="F29" t="s">
        <v>91</v>
      </c>
      <c r="G29">
        <v>0.36</v>
      </c>
      <c r="H29" t="s">
        <v>86</v>
      </c>
      <c r="I29">
        <v>350</v>
      </c>
      <c r="J29">
        <v>7.7000000000000002E-3</v>
      </c>
      <c r="K29">
        <v>0.5</v>
      </c>
      <c r="L29">
        <v>2.2999999999999998</v>
      </c>
      <c r="M29">
        <v>105</v>
      </c>
      <c r="N29">
        <v>74.900000000000006</v>
      </c>
      <c r="O29">
        <v>114</v>
      </c>
      <c r="P29">
        <v>9.36</v>
      </c>
      <c r="Q29">
        <v>9.41</v>
      </c>
      <c r="R29">
        <v>9.39</v>
      </c>
      <c r="V29">
        <v>10900</v>
      </c>
      <c r="W29">
        <v>7910</v>
      </c>
      <c r="X29">
        <v>11900</v>
      </c>
      <c r="Y29">
        <v>111</v>
      </c>
      <c r="Z29">
        <v>122</v>
      </c>
      <c r="AA29">
        <v>84.2</v>
      </c>
      <c r="AB29">
        <v>8.6300000000000008</v>
      </c>
      <c r="AC29">
        <v>8.56</v>
      </c>
      <c r="AD29">
        <v>8.32</v>
      </c>
    </row>
    <row r="30" spans="1:36" x14ac:dyDescent="0.25">
      <c r="A30" t="s">
        <v>10</v>
      </c>
      <c r="B30" t="s">
        <v>31</v>
      </c>
      <c r="C30" t="s">
        <v>6</v>
      </c>
      <c r="D30" t="s">
        <v>36</v>
      </c>
      <c r="E30" t="s">
        <v>84</v>
      </c>
      <c r="F30" t="s">
        <v>85</v>
      </c>
      <c r="G30">
        <v>0.4</v>
      </c>
      <c r="H30" t="s">
        <v>86</v>
      </c>
      <c r="I30">
        <v>350</v>
      </c>
      <c r="J30">
        <v>6.7999999999999996E-3</v>
      </c>
      <c r="K30">
        <v>0</v>
      </c>
      <c r="L30">
        <v>1</v>
      </c>
      <c r="M30">
        <v>94.4</v>
      </c>
      <c r="N30">
        <v>75.400000000000006</v>
      </c>
      <c r="O30">
        <v>106</v>
      </c>
      <c r="P30">
        <v>10.4</v>
      </c>
      <c r="Q30">
        <v>10.5</v>
      </c>
      <c r="R30">
        <v>10.7</v>
      </c>
      <c r="Y30">
        <v>93.7</v>
      </c>
      <c r="Z30">
        <v>74</v>
      </c>
      <c r="AA30">
        <v>98.3</v>
      </c>
      <c r="AB30">
        <v>10</v>
      </c>
      <c r="AC30">
        <v>9.91</v>
      </c>
      <c r="AD30">
        <v>9.93</v>
      </c>
    </row>
    <row r="31" spans="1:36" x14ac:dyDescent="0.25">
      <c r="A31" t="s">
        <v>10</v>
      </c>
      <c r="B31" t="s">
        <v>31</v>
      </c>
      <c r="C31" t="s">
        <v>40</v>
      </c>
      <c r="D31" t="s">
        <v>36</v>
      </c>
      <c r="E31" t="s">
        <v>84</v>
      </c>
      <c r="F31" t="s">
        <v>85</v>
      </c>
      <c r="G31">
        <v>0.4</v>
      </c>
      <c r="H31" t="s">
        <v>86</v>
      </c>
      <c r="I31">
        <v>350</v>
      </c>
      <c r="J31">
        <v>1.2E-2</v>
      </c>
      <c r="K31">
        <v>0</v>
      </c>
      <c r="L31">
        <v>0</v>
      </c>
      <c r="M31">
        <v>99.2</v>
      </c>
      <c r="N31">
        <v>82</v>
      </c>
      <c r="O31">
        <v>104</v>
      </c>
      <c r="P31">
        <v>10.3</v>
      </c>
      <c r="Q31">
        <v>10.3</v>
      </c>
      <c r="R31">
        <v>11</v>
      </c>
      <c r="U31">
        <v>3.3000000000000002E-2</v>
      </c>
      <c r="V31" t="str">
        <f t="shared" ref="V31" si="0">MID(N31, 9, 30)</f>
        <v/>
      </c>
      <c r="Y31">
        <v>106</v>
      </c>
      <c r="Z31">
        <v>82.2</v>
      </c>
      <c r="AA31">
        <v>111</v>
      </c>
      <c r="AB31">
        <v>10.7</v>
      </c>
      <c r="AC31">
        <v>10.4</v>
      </c>
      <c r="AD31">
        <v>10.8</v>
      </c>
      <c r="AG31">
        <v>0.03</v>
      </c>
    </row>
    <row r="32" spans="1:36" x14ac:dyDescent="0.25">
      <c r="A32" t="s">
        <v>10</v>
      </c>
      <c r="B32" t="s">
        <v>31</v>
      </c>
      <c r="C32" t="s">
        <v>40</v>
      </c>
      <c r="D32" t="s">
        <v>37</v>
      </c>
      <c r="E32" t="s">
        <v>84</v>
      </c>
      <c r="F32" t="s">
        <v>91</v>
      </c>
      <c r="G32">
        <v>0.33</v>
      </c>
      <c r="H32" t="s">
        <v>86</v>
      </c>
      <c r="I32">
        <v>350</v>
      </c>
      <c r="J32">
        <v>1.41E-2</v>
      </c>
      <c r="K32">
        <v>0.23</v>
      </c>
      <c r="L32">
        <v>0.46</v>
      </c>
      <c r="M32">
        <v>132</v>
      </c>
      <c r="N32">
        <v>111</v>
      </c>
      <c r="O32">
        <v>131</v>
      </c>
      <c r="P32">
        <v>9.58</v>
      </c>
      <c r="Q32">
        <v>9.69</v>
      </c>
      <c r="R32">
        <v>10.119999999999999</v>
      </c>
      <c r="S32">
        <v>4.3999999999999997E-2</v>
      </c>
      <c r="T32">
        <v>5.5E-2</v>
      </c>
      <c r="U32">
        <v>4.9000000000000002E-2</v>
      </c>
      <c r="Y32">
        <v>115</v>
      </c>
      <c r="Z32">
        <v>99.5</v>
      </c>
      <c r="AA32">
        <v>119</v>
      </c>
      <c r="AB32">
        <v>9.5500000000000007</v>
      </c>
      <c r="AC32">
        <v>9.3800000000000008</v>
      </c>
      <c r="AD32">
        <v>9.68</v>
      </c>
      <c r="AE32">
        <v>5.1999999999999998E-2</v>
      </c>
      <c r="AF32">
        <v>4.4999999999999998E-2</v>
      </c>
      <c r="AG32">
        <v>0.04</v>
      </c>
    </row>
    <row r="33" spans="1:36" x14ac:dyDescent="0.25">
      <c r="A33" t="s">
        <v>10</v>
      </c>
      <c r="B33" t="s">
        <v>31</v>
      </c>
      <c r="C33" t="s">
        <v>6</v>
      </c>
      <c r="D33" t="s">
        <v>37</v>
      </c>
      <c r="E33" t="s">
        <v>84</v>
      </c>
      <c r="F33" t="s">
        <v>91</v>
      </c>
      <c r="G33">
        <v>0.34</v>
      </c>
      <c r="H33" t="s">
        <v>86</v>
      </c>
      <c r="I33">
        <v>350</v>
      </c>
      <c r="J33">
        <v>7.4000000000000003E-3</v>
      </c>
      <c r="K33">
        <v>0.31</v>
      </c>
      <c r="L33">
        <v>0.69</v>
      </c>
      <c r="M33">
        <v>119</v>
      </c>
      <c r="N33">
        <v>103</v>
      </c>
      <c r="O33">
        <v>121</v>
      </c>
      <c r="P33">
        <v>9.5500000000000007</v>
      </c>
      <c r="Q33">
        <v>9.76</v>
      </c>
      <c r="R33">
        <v>10</v>
      </c>
      <c r="S33">
        <v>5.2999999999999999E-2</v>
      </c>
      <c r="T33">
        <v>5.1999999999999998E-2</v>
      </c>
      <c r="U33">
        <v>4.8000000000000001E-2</v>
      </c>
      <c r="Y33">
        <v>112</v>
      </c>
      <c r="Z33">
        <v>93.3</v>
      </c>
      <c r="AA33">
        <v>118</v>
      </c>
      <c r="AB33">
        <v>9.5399999999999991</v>
      </c>
      <c r="AC33">
        <v>9.52</v>
      </c>
      <c r="AD33">
        <v>9.65</v>
      </c>
      <c r="AE33">
        <v>4.8000000000000001E-2</v>
      </c>
      <c r="AF33">
        <v>5.3999999999999999E-2</v>
      </c>
      <c r="AG33">
        <v>4.7E-2</v>
      </c>
    </row>
    <row r="34" spans="1:36" x14ac:dyDescent="0.25">
      <c r="A34" t="s">
        <v>47</v>
      </c>
      <c r="B34" t="s">
        <v>46</v>
      </c>
      <c r="C34" t="s">
        <v>40</v>
      </c>
      <c r="D34" t="s">
        <v>44</v>
      </c>
      <c r="E34" t="s">
        <v>84</v>
      </c>
      <c r="F34" t="s">
        <v>91</v>
      </c>
      <c r="G34">
        <v>0.34</v>
      </c>
      <c r="H34" t="s">
        <v>86</v>
      </c>
      <c r="I34">
        <v>195</v>
      </c>
      <c r="J34">
        <v>1.4999999999999999E-2</v>
      </c>
      <c r="K34">
        <v>4</v>
      </c>
      <c r="L34">
        <v>4.8</v>
      </c>
      <c r="M34">
        <v>88.3</v>
      </c>
      <c r="P34">
        <v>9.17</v>
      </c>
      <c r="S34">
        <v>5.8700000000000002E-2</v>
      </c>
      <c r="V34">
        <v>7830</v>
      </c>
      <c r="Y34">
        <v>100</v>
      </c>
      <c r="Z34">
        <v>93.6</v>
      </c>
      <c r="AA34">
        <v>78.900000000000006</v>
      </c>
      <c r="AB34">
        <v>9.1</v>
      </c>
      <c r="AC34">
        <v>9.6</v>
      </c>
      <c r="AD34">
        <v>9.0500000000000007</v>
      </c>
      <c r="AE34">
        <v>5.0900000000000001E-2</v>
      </c>
      <c r="AF34">
        <v>5.4300000000000001E-2</v>
      </c>
      <c r="AG34">
        <v>5.7500000000000002E-2</v>
      </c>
      <c r="AH34">
        <v>10500</v>
      </c>
      <c r="AI34">
        <v>9580</v>
      </c>
      <c r="AJ34">
        <v>8590</v>
      </c>
    </row>
    <row r="35" spans="1:36" x14ac:dyDescent="0.25">
      <c r="A35" t="s">
        <v>45</v>
      </c>
      <c r="B35" t="s">
        <v>31</v>
      </c>
      <c r="C35" t="s">
        <v>39</v>
      </c>
      <c r="D35" t="s">
        <v>93</v>
      </c>
      <c r="E35" t="s">
        <v>84</v>
      </c>
      <c r="F35" t="s">
        <v>91</v>
      </c>
      <c r="G35">
        <v>0.31</v>
      </c>
      <c r="H35" t="s">
        <v>86</v>
      </c>
      <c r="I35">
        <v>320</v>
      </c>
      <c r="J35">
        <v>1.37E-2</v>
      </c>
      <c r="K35">
        <v>0</v>
      </c>
      <c r="L35">
        <v>0</v>
      </c>
      <c r="M35">
        <v>118</v>
      </c>
      <c r="O35">
        <v>105</v>
      </c>
      <c r="P35">
        <v>8.8800000000000008</v>
      </c>
      <c r="Q35">
        <v>8.85</v>
      </c>
      <c r="R35">
        <v>8.99</v>
      </c>
    </row>
    <row r="36" spans="1:36" x14ac:dyDescent="0.25">
      <c r="A36" t="s">
        <v>48</v>
      </c>
      <c r="B36" t="s">
        <v>31</v>
      </c>
      <c r="C36" t="s">
        <v>54</v>
      </c>
      <c r="D36" t="s">
        <v>94</v>
      </c>
      <c r="E36" t="s">
        <v>84</v>
      </c>
      <c r="F36" t="s">
        <v>102</v>
      </c>
      <c r="G36">
        <v>0.31</v>
      </c>
      <c r="H36" t="s">
        <v>86</v>
      </c>
      <c r="I36">
        <v>350</v>
      </c>
      <c r="J36">
        <v>8.0000000000000002E-3</v>
      </c>
      <c r="K36">
        <v>0</v>
      </c>
      <c r="L36">
        <v>0</v>
      </c>
      <c r="M36">
        <v>143</v>
      </c>
      <c r="P36">
        <v>11.6</v>
      </c>
      <c r="V36">
        <v>11600</v>
      </c>
      <c r="Y36">
        <v>131</v>
      </c>
      <c r="AB36">
        <v>11.1</v>
      </c>
      <c r="AH36">
        <v>11200</v>
      </c>
    </row>
    <row r="37" spans="1:36" x14ac:dyDescent="0.25">
      <c r="A37" t="s">
        <v>48</v>
      </c>
      <c r="B37" t="s">
        <v>11</v>
      </c>
      <c r="C37" t="s">
        <v>12</v>
      </c>
      <c r="D37" t="s">
        <v>95</v>
      </c>
      <c r="E37" t="s">
        <v>84</v>
      </c>
      <c r="F37" t="s">
        <v>102</v>
      </c>
      <c r="G37">
        <v>0.32</v>
      </c>
      <c r="H37" t="s">
        <v>86</v>
      </c>
      <c r="I37">
        <v>475</v>
      </c>
      <c r="J37">
        <v>7.0000000000000001E-3</v>
      </c>
      <c r="K37">
        <v>0</v>
      </c>
      <c r="L37">
        <v>0</v>
      </c>
      <c r="M37">
        <v>248</v>
      </c>
      <c r="N37">
        <v>194</v>
      </c>
      <c r="O37">
        <v>229</v>
      </c>
      <c r="P37">
        <v>18.899999999999999</v>
      </c>
      <c r="R37">
        <v>19.100000000000001</v>
      </c>
    </row>
    <row r="38" spans="1:36" x14ac:dyDescent="0.25">
      <c r="A38" t="s">
        <v>48</v>
      </c>
      <c r="B38" t="s">
        <v>31</v>
      </c>
      <c r="C38" t="s">
        <v>40</v>
      </c>
      <c r="D38" t="s">
        <v>96</v>
      </c>
      <c r="E38" t="s">
        <v>84</v>
      </c>
      <c r="F38" t="s">
        <v>102</v>
      </c>
      <c r="G38">
        <v>0.27</v>
      </c>
      <c r="H38" t="s">
        <v>86</v>
      </c>
      <c r="I38">
        <v>550</v>
      </c>
      <c r="J38">
        <v>1.24E-2</v>
      </c>
      <c r="K38">
        <v>0</v>
      </c>
      <c r="L38">
        <v>0</v>
      </c>
      <c r="M38">
        <v>73.599999999999994</v>
      </c>
      <c r="P38">
        <v>9.7100000000000009</v>
      </c>
    </row>
    <row r="39" spans="1:36" x14ac:dyDescent="0.25">
      <c r="A39" t="s">
        <v>48</v>
      </c>
      <c r="B39" t="s">
        <v>11</v>
      </c>
      <c r="C39" t="s">
        <v>12</v>
      </c>
      <c r="D39" t="s">
        <v>97</v>
      </c>
      <c r="E39" t="s">
        <v>84</v>
      </c>
      <c r="F39" t="s">
        <v>102</v>
      </c>
      <c r="G39">
        <v>0.32</v>
      </c>
      <c r="H39" t="s">
        <v>86</v>
      </c>
      <c r="I39">
        <v>475</v>
      </c>
      <c r="J39">
        <v>5.4999999999999997E-3</v>
      </c>
      <c r="K39">
        <v>0.1</v>
      </c>
      <c r="L39">
        <v>0.9</v>
      </c>
      <c r="M39">
        <v>252</v>
      </c>
      <c r="N39">
        <v>270</v>
      </c>
      <c r="O39">
        <v>266</v>
      </c>
      <c r="P39">
        <v>15.9</v>
      </c>
      <c r="Q39">
        <v>16.399999999999999</v>
      </c>
      <c r="R39">
        <v>16.399999999999999</v>
      </c>
      <c r="S39">
        <v>0.3</v>
      </c>
      <c r="T39">
        <v>0.29499999999999998</v>
      </c>
      <c r="U39">
        <v>0.30199999999999999</v>
      </c>
      <c r="V39">
        <v>17100</v>
      </c>
      <c r="W39">
        <v>15800</v>
      </c>
      <c r="X39">
        <v>15900</v>
      </c>
      <c r="Y39">
        <v>4.6100000000000003</v>
      </c>
      <c r="Z39">
        <v>4.9800000000000004</v>
      </c>
      <c r="AA39">
        <v>4.63</v>
      </c>
      <c r="AB39">
        <v>1.24</v>
      </c>
      <c r="AC39">
        <v>1.4</v>
      </c>
      <c r="AD39">
        <v>1.04</v>
      </c>
      <c r="AH39">
        <v>3540</v>
      </c>
      <c r="AI39">
        <v>3580</v>
      </c>
      <c r="AJ39">
        <v>4680</v>
      </c>
    </row>
    <row r="40" spans="1:36" x14ac:dyDescent="0.25">
      <c r="A40" t="s">
        <v>48</v>
      </c>
      <c r="B40" t="s">
        <v>31</v>
      </c>
      <c r="C40" t="s">
        <v>40</v>
      </c>
      <c r="D40" t="s">
        <v>98</v>
      </c>
      <c r="E40" t="s">
        <v>84</v>
      </c>
      <c r="F40" t="s">
        <v>102</v>
      </c>
      <c r="G40">
        <v>0.37</v>
      </c>
      <c r="H40" t="s">
        <v>86</v>
      </c>
      <c r="I40">
        <v>440</v>
      </c>
      <c r="J40">
        <v>1.4999999999999999E-2</v>
      </c>
      <c r="K40">
        <v>0</v>
      </c>
      <c r="L40">
        <v>0.1</v>
      </c>
      <c r="M40">
        <v>138</v>
      </c>
      <c r="N40">
        <v>129</v>
      </c>
      <c r="O40">
        <v>115</v>
      </c>
      <c r="P40">
        <v>10.9</v>
      </c>
      <c r="Q40">
        <v>10.5</v>
      </c>
      <c r="R40">
        <v>10.8</v>
      </c>
      <c r="U40">
        <v>4.87E-2</v>
      </c>
      <c r="Y40">
        <v>129</v>
      </c>
      <c r="Z40">
        <v>126</v>
      </c>
      <c r="AA40">
        <v>113</v>
      </c>
      <c r="AB40">
        <v>10.7</v>
      </c>
      <c r="AC40">
        <v>10.5</v>
      </c>
      <c r="AD40">
        <v>10.6</v>
      </c>
      <c r="AG40">
        <v>3.73E-2</v>
      </c>
    </row>
    <row r="41" spans="1:36" x14ac:dyDescent="0.25">
      <c r="A41" t="s">
        <v>48</v>
      </c>
      <c r="B41" t="s">
        <v>31</v>
      </c>
      <c r="C41" t="s">
        <v>6</v>
      </c>
      <c r="D41" t="s">
        <v>98</v>
      </c>
      <c r="E41" t="s">
        <v>84</v>
      </c>
      <c r="F41" t="s">
        <v>102</v>
      </c>
      <c r="G41">
        <v>0.37</v>
      </c>
      <c r="H41" t="s">
        <v>86</v>
      </c>
      <c r="I41">
        <v>440</v>
      </c>
      <c r="J41">
        <v>7.9000000000000008E-3</v>
      </c>
      <c r="K41">
        <v>0</v>
      </c>
      <c r="L41">
        <v>1</v>
      </c>
      <c r="M41">
        <v>132</v>
      </c>
      <c r="N41">
        <v>128</v>
      </c>
      <c r="O41">
        <v>110</v>
      </c>
      <c r="P41">
        <v>10.5</v>
      </c>
      <c r="Q41">
        <v>10.7</v>
      </c>
      <c r="R41">
        <v>10.4</v>
      </c>
      <c r="U41">
        <v>4.9000000000000002E-2</v>
      </c>
      <c r="Y41">
        <v>128</v>
      </c>
      <c r="Z41">
        <v>127</v>
      </c>
      <c r="AA41">
        <v>105</v>
      </c>
      <c r="AB41">
        <v>10.7</v>
      </c>
      <c r="AC41">
        <v>10.3</v>
      </c>
      <c r="AD41">
        <v>10.3</v>
      </c>
      <c r="AG41">
        <v>5.8999999999999997E-2</v>
      </c>
    </row>
    <row r="42" spans="1:36" x14ac:dyDescent="0.25">
      <c r="A42" t="s">
        <v>49</v>
      </c>
      <c r="B42" t="s">
        <v>31</v>
      </c>
      <c r="C42" t="s">
        <v>54</v>
      </c>
      <c r="D42" t="s">
        <v>99</v>
      </c>
      <c r="E42" t="s">
        <v>84</v>
      </c>
      <c r="F42" t="s">
        <v>102</v>
      </c>
      <c r="G42">
        <v>0.34</v>
      </c>
      <c r="H42" t="s">
        <v>86</v>
      </c>
      <c r="I42">
        <v>440</v>
      </c>
      <c r="J42">
        <v>7.9000000000000008E-3</v>
      </c>
      <c r="K42">
        <v>0</v>
      </c>
      <c r="L42">
        <v>0</v>
      </c>
      <c r="M42">
        <v>141</v>
      </c>
      <c r="P42">
        <v>11.7</v>
      </c>
      <c r="Y42">
        <v>122</v>
      </c>
      <c r="AB42">
        <v>10.8</v>
      </c>
    </row>
    <row r="43" spans="1:36" x14ac:dyDescent="0.25">
      <c r="A43" t="s">
        <v>50</v>
      </c>
      <c r="B43" t="s">
        <v>31</v>
      </c>
      <c r="C43" t="s">
        <v>40</v>
      </c>
      <c r="D43" t="s">
        <v>100</v>
      </c>
      <c r="E43" t="s">
        <v>84</v>
      </c>
      <c r="F43" t="s">
        <v>103</v>
      </c>
      <c r="G43">
        <v>0.32</v>
      </c>
      <c r="H43" t="s">
        <v>86</v>
      </c>
      <c r="I43">
        <v>600</v>
      </c>
      <c r="J43">
        <v>1.38E-2</v>
      </c>
      <c r="K43">
        <v>0</v>
      </c>
      <c r="L43">
        <v>0.62</v>
      </c>
      <c r="M43">
        <v>132</v>
      </c>
      <c r="O43">
        <v>116</v>
      </c>
      <c r="P43">
        <v>9.0299999999999994</v>
      </c>
      <c r="R43">
        <v>8.67</v>
      </c>
      <c r="Y43">
        <v>107</v>
      </c>
      <c r="AA43">
        <v>90.4</v>
      </c>
      <c r="AB43">
        <v>8.43</v>
      </c>
      <c r="AD43">
        <v>8.23</v>
      </c>
    </row>
    <row r="44" spans="1:36" x14ac:dyDescent="0.25">
      <c r="A44" t="s">
        <v>51</v>
      </c>
      <c r="B44" t="s">
        <v>11</v>
      </c>
      <c r="C44" t="s">
        <v>12</v>
      </c>
      <c r="D44" t="s">
        <v>53</v>
      </c>
      <c r="E44" t="s">
        <v>84</v>
      </c>
      <c r="F44" t="s">
        <v>104</v>
      </c>
      <c r="G44">
        <v>0.32</v>
      </c>
      <c r="H44" t="s">
        <v>86</v>
      </c>
      <c r="I44">
        <v>720</v>
      </c>
      <c r="J44">
        <v>5.3E-3</v>
      </c>
      <c r="K44">
        <v>0</v>
      </c>
      <c r="L44">
        <v>0.2</v>
      </c>
      <c r="M44">
        <v>350</v>
      </c>
      <c r="N44">
        <v>376</v>
      </c>
      <c r="O44">
        <v>304</v>
      </c>
      <c r="P44">
        <v>21.6</v>
      </c>
      <c r="Q44">
        <v>22</v>
      </c>
      <c r="R44">
        <v>21.4</v>
      </c>
      <c r="S44">
        <v>0.34200000000000003</v>
      </c>
      <c r="T44">
        <v>0.35699999999999998</v>
      </c>
      <c r="U44">
        <v>0.33800000000000002</v>
      </c>
      <c r="V44">
        <v>13600</v>
      </c>
      <c r="W44">
        <v>15900</v>
      </c>
      <c r="X44">
        <v>14800</v>
      </c>
      <c r="Y44">
        <v>9.41</v>
      </c>
      <c r="Z44">
        <v>9.67</v>
      </c>
      <c r="AA44">
        <v>9.07</v>
      </c>
      <c r="AB44">
        <v>1.28</v>
      </c>
      <c r="AC44">
        <v>1.41</v>
      </c>
      <c r="AD44">
        <v>1.32</v>
      </c>
      <c r="AH44">
        <v>7610</v>
      </c>
      <c r="AI44">
        <v>7120</v>
      </c>
      <c r="AJ44">
        <v>12300</v>
      </c>
    </row>
    <row r="45" spans="1:36" x14ac:dyDescent="0.25">
      <c r="A45" t="s">
        <v>52</v>
      </c>
      <c r="B45" t="s">
        <v>11</v>
      </c>
      <c r="C45" t="s">
        <v>12</v>
      </c>
      <c r="D45" t="s">
        <v>101</v>
      </c>
      <c r="E45" t="s">
        <v>84</v>
      </c>
      <c r="F45" t="s">
        <v>105</v>
      </c>
      <c r="G45">
        <v>0.27</v>
      </c>
      <c r="H45" t="s">
        <v>86</v>
      </c>
      <c r="I45">
        <v>350</v>
      </c>
      <c r="J45">
        <v>2.3999999999999998E-3</v>
      </c>
      <c r="K45">
        <v>0.3</v>
      </c>
      <c r="L45">
        <v>0.49</v>
      </c>
      <c r="M45">
        <v>324</v>
      </c>
      <c r="P45">
        <v>47.7</v>
      </c>
    </row>
    <row r="46" spans="1:36" x14ac:dyDescent="0.25">
      <c r="A46" t="s">
        <v>10</v>
      </c>
      <c r="B46" t="s">
        <v>11</v>
      </c>
      <c r="C46" t="s">
        <v>12</v>
      </c>
      <c r="D46" t="s">
        <v>1</v>
      </c>
      <c r="E46" t="s">
        <v>84</v>
      </c>
      <c r="F46" t="s">
        <v>91</v>
      </c>
      <c r="G46">
        <v>0.35</v>
      </c>
      <c r="H46" t="s">
        <v>122</v>
      </c>
      <c r="I46">
        <v>270</v>
      </c>
      <c r="J46">
        <v>6.0000000000000001E-3</v>
      </c>
      <c r="K46">
        <v>0</v>
      </c>
      <c r="L46">
        <v>3.4</v>
      </c>
      <c r="M46">
        <v>319</v>
      </c>
      <c r="N46">
        <v>247</v>
      </c>
      <c r="O46">
        <v>327</v>
      </c>
      <c r="P46">
        <v>18.399999999999999</v>
      </c>
      <c r="Q46">
        <v>18.7</v>
      </c>
      <c r="R46">
        <v>18.2</v>
      </c>
      <c r="S46">
        <v>0.309</v>
      </c>
      <c r="T46">
        <v>0.35</v>
      </c>
      <c r="U46">
        <v>0.309</v>
      </c>
      <c r="Y46">
        <v>7.09</v>
      </c>
      <c r="Z46">
        <v>7.68</v>
      </c>
      <c r="AA46">
        <v>6.42</v>
      </c>
      <c r="AB46">
        <v>1.22</v>
      </c>
      <c r="AD46">
        <v>1.08</v>
      </c>
    </row>
    <row r="47" spans="1:36" x14ac:dyDescent="0.25">
      <c r="A47" t="s">
        <v>10</v>
      </c>
      <c r="B47" t="s">
        <v>11</v>
      </c>
      <c r="C47" t="s">
        <v>12</v>
      </c>
      <c r="D47" t="s">
        <v>107</v>
      </c>
      <c r="E47" t="s">
        <v>84</v>
      </c>
      <c r="F47" t="s">
        <v>91</v>
      </c>
      <c r="G47">
        <v>0.34</v>
      </c>
      <c r="H47" t="s">
        <v>122</v>
      </c>
      <c r="I47">
        <v>280</v>
      </c>
      <c r="J47">
        <v>5.8999999999999999E-3</v>
      </c>
      <c r="K47">
        <v>0</v>
      </c>
      <c r="L47">
        <v>1.9</v>
      </c>
      <c r="M47">
        <v>384</v>
      </c>
      <c r="N47">
        <v>380</v>
      </c>
      <c r="O47">
        <v>370</v>
      </c>
      <c r="P47">
        <v>19</v>
      </c>
      <c r="R47">
        <v>18.399999999999999</v>
      </c>
      <c r="S47">
        <v>0.31900000000000001</v>
      </c>
      <c r="U47">
        <v>0.28599999999999998</v>
      </c>
      <c r="Y47">
        <v>28.9</v>
      </c>
      <c r="Z47">
        <v>40.799999999999997</v>
      </c>
      <c r="AA47">
        <v>23.5</v>
      </c>
      <c r="AB47">
        <v>1.68</v>
      </c>
      <c r="AD47">
        <v>1.39</v>
      </c>
    </row>
    <row r="48" spans="1:36" x14ac:dyDescent="0.25">
      <c r="A48" t="s">
        <v>10</v>
      </c>
      <c r="B48" t="s">
        <v>11</v>
      </c>
      <c r="C48" t="s">
        <v>12</v>
      </c>
      <c r="D48" t="s">
        <v>108</v>
      </c>
      <c r="E48" t="s">
        <v>84</v>
      </c>
      <c r="F48" t="s">
        <v>91</v>
      </c>
      <c r="G48">
        <v>0.35</v>
      </c>
      <c r="H48" t="s">
        <v>86</v>
      </c>
      <c r="I48">
        <v>350</v>
      </c>
      <c r="J48">
        <v>6.7999999999999996E-3</v>
      </c>
      <c r="K48">
        <v>0</v>
      </c>
      <c r="L48">
        <v>4</v>
      </c>
      <c r="M48">
        <v>289</v>
      </c>
      <c r="N48">
        <v>295</v>
      </c>
      <c r="O48">
        <v>245</v>
      </c>
      <c r="P48">
        <v>18.5</v>
      </c>
      <c r="Q48">
        <v>18.2</v>
      </c>
      <c r="R48">
        <v>18.8</v>
      </c>
      <c r="S48">
        <v>0.30199999999999999</v>
      </c>
      <c r="T48">
        <v>0.27500000000000002</v>
      </c>
      <c r="U48">
        <v>0.36599999999999999</v>
      </c>
      <c r="Y48">
        <v>9.27</v>
      </c>
      <c r="Z48">
        <v>9.73</v>
      </c>
      <c r="AA48">
        <v>3.49</v>
      </c>
      <c r="AB48">
        <v>1.34</v>
      </c>
      <c r="AC48">
        <v>1.5</v>
      </c>
      <c r="AD48">
        <v>0.81</v>
      </c>
    </row>
    <row r="49" spans="1:36" x14ac:dyDescent="0.25">
      <c r="A49" t="s">
        <v>10</v>
      </c>
      <c r="B49" t="s">
        <v>11</v>
      </c>
      <c r="C49" t="s">
        <v>12</v>
      </c>
      <c r="D49" t="s">
        <v>2</v>
      </c>
      <c r="E49" t="s">
        <v>84</v>
      </c>
      <c r="F49" t="s">
        <v>91</v>
      </c>
      <c r="G49">
        <v>0.35</v>
      </c>
      <c r="H49" t="s">
        <v>86</v>
      </c>
      <c r="I49">
        <v>350</v>
      </c>
      <c r="J49">
        <v>6.7999999999999996E-3</v>
      </c>
      <c r="K49">
        <v>0</v>
      </c>
      <c r="L49">
        <v>0</v>
      </c>
      <c r="M49">
        <v>363</v>
      </c>
      <c r="N49">
        <v>357</v>
      </c>
      <c r="O49">
        <v>334</v>
      </c>
      <c r="P49">
        <v>23</v>
      </c>
      <c r="Q49">
        <v>22.6</v>
      </c>
      <c r="R49">
        <v>24</v>
      </c>
      <c r="S49">
        <v>0.316</v>
      </c>
      <c r="T49">
        <v>0.27</v>
      </c>
      <c r="U49">
        <v>0.39300000000000002</v>
      </c>
      <c r="Y49">
        <v>9.2899999999999991</v>
      </c>
      <c r="Z49">
        <v>9.6</v>
      </c>
      <c r="AA49">
        <v>3.49</v>
      </c>
      <c r="AB49">
        <v>1.3</v>
      </c>
      <c r="AC49">
        <v>1.46</v>
      </c>
      <c r="AD49">
        <v>0.81</v>
      </c>
    </row>
    <row r="50" spans="1:36" x14ac:dyDescent="0.25">
      <c r="A50" t="s">
        <v>10</v>
      </c>
      <c r="B50" t="s">
        <v>11</v>
      </c>
      <c r="C50" t="s">
        <v>12</v>
      </c>
      <c r="D50" t="s">
        <v>109</v>
      </c>
      <c r="E50" t="s">
        <v>84</v>
      </c>
      <c r="F50" t="s">
        <v>91</v>
      </c>
      <c r="G50">
        <v>0.33</v>
      </c>
      <c r="H50" t="s">
        <v>122</v>
      </c>
      <c r="I50">
        <v>260</v>
      </c>
      <c r="J50">
        <v>5.0000000000000001E-3</v>
      </c>
      <c r="K50">
        <v>0</v>
      </c>
      <c r="L50">
        <v>0</v>
      </c>
      <c r="M50">
        <v>299</v>
      </c>
      <c r="N50">
        <v>294</v>
      </c>
      <c r="O50">
        <v>274</v>
      </c>
      <c r="P50">
        <v>20.100000000000001</v>
      </c>
      <c r="Q50">
        <v>20.2</v>
      </c>
      <c r="R50">
        <v>20.100000000000001</v>
      </c>
      <c r="S50">
        <v>0.32600000000000001</v>
      </c>
      <c r="T50">
        <v>0.32500000000000001</v>
      </c>
      <c r="U50">
        <v>0.33700000000000002</v>
      </c>
      <c r="Y50">
        <v>10.1</v>
      </c>
      <c r="Z50">
        <v>11</v>
      </c>
      <c r="AA50">
        <v>4.7300000000000004</v>
      </c>
      <c r="AB50">
        <v>1.33</v>
      </c>
      <c r="AC50">
        <v>1.48</v>
      </c>
      <c r="AD50">
        <v>0.84</v>
      </c>
    </row>
    <row r="51" spans="1:36" x14ac:dyDescent="0.25">
      <c r="A51" t="s">
        <v>10</v>
      </c>
      <c r="B51" t="s">
        <v>11</v>
      </c>
      <c r="C51" t="s">
        <v>12</v>
      </c>
      <c r="D51" t="s">
        <v>110</v>
      </c>
      <c r="E51" t="s">
        <v>84</v>
      </c>
      <c r="F51" t="s">
        <v>91</v>
      </c>
      <c r="G51">
        <v>0.32</v>
      </c>
      <c r="H51" t="s">
        <v>122</v>
      </c>
      <c r="I51">
        <v>350</v>
      </c>
      <c r="J51">
        <v>5.7999999999999996E-3</v>
      </c>
      <c r="K51">
        <v>0</v>
      </c>
      <c r="L51">
        <v>0</v>
      </c>
      <c r="M51">
        <v>358</v>
      </c>
      <c r="N51">
        <v>371</v>
      </c>
      <c r="O51">
        <v>343</v>
      </c>
      <c r="P51">
        <v>22.9</v>
      </c>
      <c r="Q51">
        <v>23.4</v>
      </c>
      <c r="R51">
        <v>23.8</v>
      </c>
      <c r="Y51">
        <v>7.59</v>
      </c>
      <c r="Z51">
        <v>8.34</v>
      </c>
      <c r="AA51">
        <v>3.49</v>
      </c>
      <c r="AB51">
        <v>1.1100000000000001</v>
      </c>
      <c r="AC51">
        <v>1.21</v>
      </c>
      <c r="AD51">
        <v>0.82399999999999995</v>
      </c>
    </row>
    <row r="52" spans="1:36" x14ac:dyDescent="0.25">
      <c r="A52" t="s">
        <v>10</v>
      </c>
      <c r="B52" t="s">
        <v>11</v>
      </c>
      <c r="C52" t="s">
        <v>12</v>
      </c>
      <c r="D52" t="s">
        <v>3</v>
      </c>
      <c r="E52" t="s">
        <v>84</v>
      </c>
      <c r="F52" t="s">
        <v>91</v>
      </c>
      <c r="G52">
        <v>0.32</v>
      </c>
      <c r="H52" t="s">
        <v>122</v>
      </c>
      <c r="I52">
        <v>350</v>
      </c>
      <c r="J52">
        <v>5.5999999999999999E-3</v>
      </c>
      <c r="K52">
        <v>0</v>
      </c>
      <c r="L52">
        <v>0</v>
      </c>
      <c r="M52">
        <v>311</v>
      </c>
      <c r="N52">
        <v>307</v>
      </c>
      <c r="O52">
        <v>322</v>
      </c>
      <c r="P52">
        <v>19</v>
      </c>
      <c r="Q52">
        <v>19.100000000000001</v>
      </c>
      <c r="R52">
        <v>20.2</v>
      </c>
      <c r="S52">
        <v>0.318</v>
      </c>
      <c r="T52">
        <v>0.32200000000000001</v>
      </c>
      <c r="U52">
        <v>0.33800000000000002</v>
      </c>
      <c r="Y52">
        <v>8.7200000000000006</v>
      </c>
      <c r="Z52">
        <v>8.91</v>
      </c>
      <c r="AA52">
        <v>4.3600000000000003</v>
      </c>
      <c r="AB52">
        <v>1.2</v>
      </c>
      <c r="AC52">
        <v>1.31</v>
      </c>
      <c r="AD52">
        <v>0.84</v>
      </c>
    </row>
    <row r="53" spans="1:36" x14ac:dyDescent="0.25">
      <c r="A53" t="s">
        <v>10</v>
      </c>
      <c r="B53" t="s">
        <v>11</v>
      </c>
      <c r="C53" t="s">
        <v>12</v>
      </c>
      <c r="D53" t="s">
        <v>4</v>
      </c>
      <c r="E53" t="s">
        <v>84</v>
      </c>
      <c r="F53" t="s">
        <v>91</v>
      </c>
      <c r="G53">
        <v>0.32</v>
      </c>
      <c r="H53" t="s">
        <v>122</v>
      </c>
      <c r="I53">
        <v>350</v>
      </c>
      <c r="J53">
        <v>5.3E-3</v>
      </c>
      <c r="K53">
        <v>0</v>
      </c>
      <c r="L53">
        <v>0</v>
      </c>
      <c r="M53">
        <v>271</v>
      </c>
      <c r="N53">
        <v>263</v>
      </c>
      <c r="O53">
        <v>268</v>
      </c>
      <c r="P53">
        <v>18.5</v>
      </c>
      <c r="Q53">
        <v>18.7</v>
      </c>
      <c r="R53">
        <v>21.9</v>
      </c>
      <c r="S53">
        <v>0.313</v>
      </c>
      <c r="T53">
        <v>0.30099999999999999</v>
      </c>
      <c r="U53">
        <v>0.35099999999999998</v>
      </c>
      <c r="Y53">
        <v>6.92</v>
      </c>
      <c r="Z53">
        <v>7.1</v>
      </c>
      <c r="AA53">
        <v>3.26</v>
      </c>
      <c r="AB53">
        <v>1.1499999999999999</v>
      </c>
      <c r="AC53">
        <v>1.25</v>
      </c>
      <c r="AD53">
        <v>0.94199999999999995</v>
      </c>
      <c r="AE53">
        <v>1.4999999999999999E-2</v>
      </c>
      <c r="AF53">
        <v>1.7999999999999999E-2</v>
      </c>
      <c r="AG53">
        <v>5.3999999999999999E-2</v>
      </c>
    </row>
    <row r="54" spans="1:36" x14ac:dyDescent="0.25">
      <c r="A54" t="s">
        <v>10</v>
      </c>
      <c r="B54" t="s">
        <v>11</v>
      </c>
      <c r="C54" t="s">
        <v>12</v>
      </c>
      <c r="D54" t="s">
        <v>111</v>
      </c>
      <c r="E54" t="s">
        <v>84</v>
      </c>
      <c r="F54" t="s">
        <v>91</v>
      </c>
      <c r="G54">
        <v>0.33</v>
      </c>
      <c r="H54" t="s">
        <v>122</v>
      </c>
      <c r="I54">
        <v>365</v>
      </c>
      <c r="J54">
        <v>7.3000000000000001E-3</v>
      </c>
      <c r="K54">
        <v>0</v>
      </c>
      <c r="L54">
        <v>0</v>
      </c>
      <c r="M54">
        <v>426</v>
      </c>
      <c r="N54">
        <v>440</v>
      </c>
      <c r="O54">
        <v>385</v>
      </c>
      <c r="P54">
        <v>22.6</v>
      </c>
      <c r="Q54">
        <v>22.5</v>
      </c>
      <c r="R54">
        <v>22.3</v>
      </c>
      <c r="S54">
        <v>0.317</v>
      </c>
      <c r="T54">
        <v>0.3</v>
      </c>
      <c r="U54">
        <v>0.30399999999999999</v>
      </c>
      <c r="Y54">
        <v>11.2</v>
      </c>
      <c r="Z54">
        <v>11.6</v>
      </c>
      <c r="AA54">
        <v>6.74</v>
      </c>
      <c r="AB54">
        <v>1.28</v>
      </c>
      <c r="AC54">
        <v>1.43</v>
      </c>
      <c r="AD54">
        <v>1.1599999999999999</v>
      </c>
    </row>
    <row r="55" spans="1:36" x14ac:dyDescent="0.25">
      <c r="A55" t="s">
        <v>10</v>
      </c>
      <c r="B55" t="s">
        <v>11</v>
      </c>
      <c r="C55" t="s">
        <v>12</v>
      </c>
      <c r="D55" t="s">
        <v>106</v>
      </c>
      <c r="E55" t="s">
        <v>84</v>
      </c>
      <c r="F55" t="s">
        <v>91</v>
      </c>
      <c r="G55">
        <v>0.33</v>
      </c>
      <c r="H55" t="s">
        <v>122</v>
      </c>
      <c r="I55">
        <v>280</v>
      </c>
      <c r="J55">
        <v>5.7000000000000002E-3</v>
      </c>
      <c r="K55">
        <v>0</v>
      </c>
      <c r="L55">
        <v>0</v>
      </c>
      <c r="M55">
        <v>347</v>
      </c>
      <c r="N55">
        <v>353</v>
      </c>
      <c r="O55">
        <v>327</v>
      </c>
      <c r="P55">
        <v>22</v>
      </c>
      <c r="Q55">
        <v>22.3</v>
      </c>
      <c r="R55">
        <v>22.9</v>
      </c>
      <c r="S55">
        <v>0.309</v>
      </c>
      <c r="T55">
        <v>0.32200000000000001</v>
      </c>
      <c r="U55">
        <v>0.32400000000000001</v>
      </c>
      <c r="Y55">
        <v>5.7</v>
      </c>
      <c r="Z55">
        <v>5.96</v>
      </c>
      <c r="AA55">
        <v>2.25</v>
      </c>
      <c r="AB55">
        <v>1.25</v>
      </c>
      <c r="AC55">
        <v>1.36</v>
      </c>
      <c r="AD55">
        <v>0.93899999999999995</v>
      </c>
    </row>
    <row r="56" spans="1:36" x14ac:dyDescent="0.25">
      <c r="A56" t="s">
        <v>10</v>
      </c>
      <c r="B56" t="s">
        <v>31</v>
      </c>
      <c r="C56" t="s">
        <v>6</v>
      </c>
      <c r="D56" t="s">
        <v>112</v>
      </c>
      <c r="E56" t="s">
        <v>84</v>
      </c>
      <c r="F56" t="s">
        <v>91</v>
      </c>
      <c r="G56">
        <v>0.42</v>
      </c>
      <c r="H56" t="s">
        <v>122</v>
      </c>
      <c r="I56">
        <v>270</v>
      </c>
      <c r="J56">
        <v>8.5000000000000006E-3</v>
      </c>
      <c r="K56">
        <v>1</v>
      </c>
      <c r="L56">
        <v>3</v>
      </c>
      <c r="M56">
        <v>133</v>
      </c>
      <c r="N56">
        <v>116</v>
      </c>
      <c r="O56">
        <v>140</v>
      </c>
      <c r="P56">
        <v>8.0500000000000007</v>
      </c>
      <c r="R56">
        <v>8.0299999999999994</v>
      </c>
      <c r="S56">
        <v>3.3000000000000002E-2</v>
      </c>
      <c r="U56">
        <v>3.6999999999999998E-2</v>
      </c>
      <c r="Y56">
        <v>112</v>
      </c>
      <c r="Z56">
        <v>104</v>
      </c>
      <c r="AA56">
        <v>121</v>
      </c>
      <c r="AB56">
        <v>7.94</v>
      </c>
      <c r="AD56">
        <v>7.92</v>
      </c>
    </row>
    <row r="57" spans="1:36" x14ac:dyDescent="0.25">
      <c r="A57" t="s">
        <v>10</v>
      </c>
      <c r="B57" t="s">
        <v>31</v>
      </c>
      <c r="C57" t="s">
        <v>6</v>
      </c>
      <c r="D57" t="s">
        <v>113</v>
      </c>
      <c r="E57" t="s">
        <v>84</v>
      </c>
      <c r="F57" t="s">
        <v>91</v>
      </c>
      <c r="G57">
        <v>0.41</v>
      </c>
      <c r="H57" t="s">
        <v>122</v>
      </c>
      <c r="I57">
        <v>280</v>
      </c>
      <c r="J57">
        <v>8.8999999999999999E-3</v>
      </c>
      <c r="K57">
        <v>1</v>
      </c>
      <c r="L57">
        <v>2.7</v>
      </c>
      <c r="M57">
        <v>86.8</v>
      </c>
      <c r="N57">
        <v>80.599999999999994</v>
      </c>
      <c r="O57">
        <v>90.2</v>
      </c>
      <c r="P57">
        <v>7.89</v>
      </c>
      <c r="Q57">
        <v>8.26</v>
      </c>
      <c r="R57">
        <v>7.64</v>
      </c>
      <c r="S57">
        <v>5.8999999999999997E-2</v>
      </c>
      <c r="T57">
        <v>6.5000000000000002E-2</v>
      </c>
      <c r="U57">
        <v>4.4999999999999998E-2</v>
      </c>
      <c r="Y57">
        <v>75.7</v>
      </c>
      <c r="Z57">
        <v>71.900000000000006</v>
      </c>
      <c r="AA57">
        <v>80</v>
      </c>
      <c r="AB57">
        <v>7.78</v>
      </c>
      <c r="AC57">
        <v>8.0500000000000007</v>
      </c>
      <c r="AD57">
        <v>7.59</v>
      </c>
    </row>
    <row r="58" spans="1:36" x14ac:dyDescent="0.25">
      <c r="A58" t="s">
        <v>10</v>
      </c>
      <c r="B58" t="s">
        <v>31</v>
      </c>
      <c r="C58" t="s">
        <v>39</v>
      </c>
      <c r="D58" t="s">
        <v>7</v>
      </c>
      <c r="E58" t="s">
        <v>84</v>
      </c>
      <c r="F58" t="s">
        <v>91</v>
      </c>
      <c r="G58">
        <v>0.35</v>
      </c>
      <c r="H58" t="s">
        <v>86</v>
      </c>
      <c r="I58">
        <v>280</v>
      </c>
      <c r="J58">
        <v>1.52E-2</v>
      </c>
      <c r="K58">
        <v>0</v>
      </c>
      <c r="L58">
        <v>0.9</v>
      </c>
      <c r="M58">
        <v>84.4</v>
      </c>
      <c r="N58">
        <v>84.2</v>
      </c>
      <c r="O58">
        <v>92.6</v>
      </c>
      <c r="P58">
        <v>9.1</v>
      </c>
      <c r="S58">
        <v>4.7E-2</v>
      </c>
      <c r="Y58">
        <v>80.599999999999994</v>
      </c>
      <c r="Z58">
        <v>69.400000000000006</v>
      </c>
      <c r="AA58">
        <v>81.900000000000006</v>
      </c>
      <c r="AB58">
        <v>8.86</v>
      </c>
    </row>
    <row r="59" spans="1:36" x14ac:dyDescent="0.25">
      <c r="A59" t="s">
        <v>10</v>
      </c>
      <c r="B59" t="s">
        <v>31</v>
      </c>
      <c r="C59" t="s">
        <v>6</v>
      </c>
      <c r="D59" t="s">
        <v>114</v>
      </c>
      <c r="E59" t="s">
        <v>84</v>
      </c>
      <c r="F59" t="s">
        <v>91</v>
      </c>
      <c r="G59">
        <v>0.43</v>
      </c>
      <c r="H59" t="s">
        <v>122</v>
      </c>
      <c r="I59">
        <v>260</v>
      </c>
      <c r="J59">
        <v>8.3000000000000001E-3</v>
      </c>
      <c r="K59">
        <v>0.66</v>
      </c>
      <c r="L59">
        <v>2.5299999999999998</v>
      </c>
      <c r="M59">
        <v>126</v>
      </c>
      <c r="P59">
        <v>8.98</v>
      </c>
      <c r="S59">
        <v>5.8999999999999997E-2</v>
      </c>
      <c r="V59">
        <v>13600</v>
      </c>
      <c r="Y59">
        <v>112</v>
      </c>
      <c r="Z59">
        <v>111</v>
      </c>
      <c r="AA59">
        <v>103</v>
      </c>
      <c r="AB59">
        <v>8.57</v>
      </c>
      <c r="AC59">
        <v>8.41</v>
      </c>
      <c r="AD59">
        <v>8.73</v>
      </c>
      <c r="AH59">
        <v>12500</v>
      </c>
      <c r="AI59">
        <v>13100</v>
      </c>
      <c r="AJ59">
        <v>11700</v>
      </c>
    </row>
    <row r="60" spans="1:36" x14ac:dyDescent="0.25">
      <c r="A60" t="s">
        <v>10</v>
      </c>
      <c r="B60" t="s">
        <v>31</v>
      </c>
      <c r="C60" t="s">
        <v>6</v>
      </c>
      <c r="D60" t="s">
        <v>5</v>
      </c>
      <c r="E60" t="s">
        <v>84</v>
      </c>
      <c r="F60" t="s">
        <v>91</v>
      </c>
      <c r="G60">
        <v>0.38</v>
      </c>
      <c r="H60" t="s">
        <v>86</v>
      </c>
      <c r="I60">
        <v>350</v>
      </c>
      <c r="J60">
        <v>7.0000000000000001E-3</v>
      </c>
      <c r="K60">
        <v>0</v>
      </c>
      <c r="L60">
        <v>0</v>
      </c>
      <c r="M60">
        <v>109</v>
      </c>
      <c r="N60">
        <v>96</v>
      </c>
      <c r="O60">
        <v>130</v>
      </c>
      <c r="P60">
        <v>9.36</v>
      </c>
      <c r="Q60">
        <v>9.2799999999999994</v>
      </c>
      <c r="R60">
        <v>9.33</v>
      </c>
      <c r="Y60">
        <v>108</v>
      </c>
      <c r="Z60">
        <v>93.2</v>
      </c>
      <c r="AA60">
        <v>122</v>
      </c>
      <c r="AB60">
        <v>9.51</v>
      </c>
      <c r="AC60">
        <v>9.3000000000000007</v>
      </c>
      <c r="AD60">
        <v>9.4499999999999993</v>
      </c>
    </row>
    <row r="61" spans="1:36" x14ac:dyDescent="0.25">
      <c r="A61" t="s">
        <v>10</v>
      </c>
      <c r="B61" t="s">
        <v>31</v>
      </c>
      <c r="C61" t="s">
        <v>6</v>
      </c>
      <c r="D61" t="s">
        <v>115</v>
      </c>
      <c r="E61" t="s">
        <v>84</v>
      </c>
      <c r="F61" t="s">
        <v>91</v>
      </c>
      <c r="G61">
        <v>0.36</v>
      </c>
      <c r="H61" t="s">
        <v>122</v>
      </c>
      <c r="I61">
        <v>350</v>
      </c>
      <c r="J61">
        <v>7.9000000000000008E-3</v>
      </c>
      <c r="K61">
        <v>0</v>
      </c>
      <c r="L61">
        <v>0</v>
      </c>
      <c r="M61">
        <v>141</v>
      </c>
      <c r="N61">
        <v>137</v>
      </c>
      <c r="O61">
        <v>130</v>
      </c>
      <c r="P61">
        <v>9.24</v>
      </c>
      <c r="Q61">
        <v>9.3699999999999992</v>
      </c>
      <c r="R61">
        <v>8.98</v>
      </c>
      <c r="Y61">
        <v>128</v>
      </c>
      <c r="Z61">
        <v>126</v>
      </c>
      <c r="AA61">
        <v>110</v>
      </c>
      <c r="AB61">
        <v>8.8800000000000008</v>
      </c>
      <c r="AC61">
        <v>9.07</v>
      </c>
      <c r="AD61">
        <v>8.64</v>
      </c>
    </row>
    <row r="62" spans="1:36" x14ac:dyDescent="0.25">
      <c r="A62" t="s">
        <v>10</v>
      </c>
      <c r="B62" t="s">
        <v>31</v>
      </c>
      <c r="C62" t="s">
        <v>6</v>
      </c>
      <c r="D62" t="s">
        <v>116</v>
      </c>
      <c r="E62" t="s">
        <v>84</v>
      </c>
      <c r="F62" t="s">
        <v>91</v>
      </c>
      <c r="G62">
        <v>0.36</v>
      </c>
      <c r="H62" t="s">
        <v>122</v>
      </c>
      <c r="I62">
        <v>350</v>
      </c>
      <c r="J62">
        <v>7.4999999999999997E-3</v>
      </c>
      <c r="K62">
        <v>0</v>
      </c>
      <c r="L62">
        <v>0</v>
      </c>
      <c r="M62">
        <v>122</v>
      </c>
      <c r="N62">
        <v>107</v>
      </c>
      <c r="O62">
        <v>129</v>
      </c>
      <c r="P62">
        <v>9.74</v>
      </c>
      <c r="Q62">
        <v>9.8699999999999992</v>
      </c>
      <c r="R62">
        <v>9.74</v>
      </c>
      <c r="S62">
        <v>5.2999999999999999E-2</v>
      </c>
      <c r="T62">
        <v>0.06</v>
      </c>
      <c r="U62">
        <v>4.9000000000000002E-2</v>
      </c>
      <c r="Y62">
        <v>119</v>
      </c>
      <c r="Z62">
        <v>102</v>
      </c>
      <c r="AA62">
        <v>120</v>
      </c>
      <c r="AB62">
        <v>9.68</v>
      </c>
      <c r="AC62">
        <v>9.77</v>
      </c>
      <c r="AD62">
        <v>9.52</v>
      </c>
    </row>
    <row r="63" spans="1:36" x14ac:dyDescent="0.25">
      <c r="A63" t="s">
        <v>10</v>
      </c>
      <c r="B63" t="s">
        <v>31</v>
      </c>
      <c r="C63" t="s">
        <v>6</v>
      </c>
      <c r="D63" t="s">
        <v>117</v>
      </c>
      <c r="E63" t="s">
        <v>84</v>
      </c>
      <c r="F63" t="s">
        <v>91</v>
      </c>
      <c r="G63">
        <v>0.42</v>
      </c>
      <c r="H63" t="s">
        <v>122</v>
      </c>
      <c r="I63">
        <v>270</v>
      </c>
      <c r="J63">
        <v>8.5000000000000006E-3</v>
      </c>
      <c r="K63">
        <v>0</v>
      </c>
      <c r="L63">
        <v>1.67</v>
      </c>
      <c r="M63">
        <v>130</v>
      </c>
      <c r="N63">
        <v>129</v>
      </c>
      <c r="O63">
        <v>135</v>
      </c>
      <c r="P63">
        <v>8.94</v>
      </c>
      <c r="Q63">
        <v>8.76</v>
      </c>
      <c r="R63">
        <v>8.85</v>
      </c>
      <c r="Y63">
        <v>126</v>
      </c>
      <c r="Z63">
        <v>122</v>
      </c>
      <c r="AA63">
        <v>128</v>
      </c>
      <c r="AB63">
        <v>8.8800000000000008</v>
      </c>
      <c r="AC63">
        <v>8.7100000000000009</v>
      </c>
      <c r="AD63">
        <v>8.75</v>
      </c>
    </row>
    <row r="64" spans="1:36" x14ac:dyDescent="0.25">
      <c r="A64" t="s">
        <v>10</v>
      </c>
      <c r="B64" t="s">
        <v>31</v>
      </c>
      <c r="C64" t="s">
        <v>6</v>
      </c>
      <c r="D64" t="s">
        <v>118</v>
      </c>
      <c r="E64" t="s">
        <v>84</v>
      </c>
      <c r="F64" t="s">
        <v>91</v>
      </c>
      <c r="G64">
        <v>0.4</v>
      </c>
      <c r="H64" t="s">
        <v>122</v>
      </c>
      <c r="I64">
        <v>280</v>
      </c>
      <c r="J64">
        <v>8.5000000000000006E-3</v>
      </c>
      <c r="K64">
        <v>1.46</v>
      </c>
      <c r="L64">
        <v>1.5</v>
      </c>
      <c r="M64">
        <v>132</v>
      </c>
      <c r="N64">
        <v>125</v>
      </c>
      <c r="O64">
        <v>125</v>
      </c>
      <c r="P64">
        <v>8.56</v>
      </c>
      <c r="Q64">
        <v>8.6300000000000008</v>
      </c>
      <c r="R64">
        <v>8.56</v>
      </c>
      <c r="S64">
        <v>5.5E-2</v>
      </c>
      <c r="T64">
        <v>5.8000000000000003E-2</v>
      </c>
      <c r="U64">
        <v>5.0999999999999997E-2</v>
      </c>
      <c r="Y64">
        <v>125</v>
      </c>
      <c r="Z64">
        <v>120</v>
      </c>
      <c r="AA64">
        <v>110</v>
      </c>
      <c r="AB64">
        <v>8.5299999999999994</v>
      </c>
      <c r="AC64">
        <v>8.64</v>
      </c>
      <c r="AD64">
        <v>8.6</v>
      </c>
    </row>
    <row r="65" spans="1:36" x14ac:dyDescent="0.25">
      <c r="A65" t="s">
        <v>10</v>
      </c>
      <c r="B65" t="s">
        <v>31</v>
      </c>
      <c r="C65" t="s">
        <v>6</v>
      </c>
      <c r="D65" t="s">
        <v>119</v>
      </c>
      <c r="E65" t="s">
        <v>84</v>
      </c>
      <c r="F65" t="s">
        <v>91</v>
      </c>
      <c r="G65">
        <v>0.38</v>
      </c>
      <c r="H65" t="s">
        <v>122</v>
      </c>
      <c r="I65">
        <v>365</v>
      </c>
      <c r="J65">
        <v>8.0000000000000002E-3</v>
      </c>
      <c r="K65">
        <v>0</v>
      </c>
      <c r="L65">
        <v>0</v>
      </c>
      <c r="M65">
        <v>127</v>
      </c>
      <c r="N65">
        <v>117</v>
      </c>
      <c r="O65">
        <v>130</v>
      </c>
      <c r="P65">
        <v>9.1300000000000008</v>
      </c>
      <c r="Q65">
        <v>9.25</v>
      </c>
      <c r="R65">
        <v>9.25</v>
      </c>
      <c r="Y65">
        <v>123</v>
      </c>
      <c r="Z65">
        <v>117</v>
      </c>
      <c r="AA65">
        <v>132</v>
      </c>
      <c r="AB65">
        <v>9.25</v>
      </c>
      <c r="AC65">
        <v>9.51</v>
      </c>
      <c r="AD65">
        <v>9.39</v>
      </c>
    </row>
    <row r="66" spans="1:36" x14ac:dyDescent="0.25">
      <c r="A66" t="s">
        <v>120</v>
      </c>
      <c r="B66" t="s">
        <v>31</v>
      </c>
      <c r="C66" t="s">
        <v>6</v>
      </c>
      <c r="D66" t="s">
        <v>121</v>
      </c>
      <c r="E66" t="s">
        <v>84</v>
      </c>
      <c r="F66" t="s">
        <v>91</v>
      </c>
      <c r="G66">
        <v>0.54</v>
      </c>
      <c r="H66" t="s">
        <v>122</v>
      </c>
      <c r="I66">
        <v>200</v>
      </c>
      <c r="J66">
        <v>7.8700000000000003E-3</v>
      </c>
      <c r="K66">
        <v>2.9</v>
      </c>
      <c r="L66">
        <v>3.9</v>
      </c>
      <c r="M66">
        <v>84.4</v>
      </c>
      <c r="N66">
        <v>82.8</v>
      </c>
      <c r="O66">
        <v>75.2</v>
      </c>
      <c r="P66">
        <v>9</v>
      </c>
      <c r="Q66">
        <v>9.19</v>
      </c>
    </row>
    <row r="67" spans="1:36" x14ac:dyDescent="0.25">
      <c r="A67" t="s">
        <v>123</v>
      </c>
      <c r="B67" t="s">
        <v>11</v>
      </c>
      <c r="C67" t="s">
        <v>12</v>
      </c>
      <c r="D67" t="s">
        <v>124</v>
      </c>
      <c r="E67" t="s">
        <v>133</v>
      </c>
      <c r="F67" t="s">
        <v>91</v>
      </c>
      <c r="G67">
        <v>0.33</v>
      </c>
      <c r="H67" t="s">
        <v>122</v>
      </c>
      <c r="I67">
        <v>280</v>
      </c>
      <c r="J67">
        <v>8.9999999999999993E-3</v>
      </c>
      <c r="K67">
        <v>0</v>
      </c>
      <c r="L67">
        <v>0</v>
      </c>
      <c r="M67">
        <v>217</v>
      </c>
      <c r="N67">
        <v>236</v>
      </c>
      <c r="O67">
        <v>116</v>
      </c>
      <c r="P67">
        <v>6.49</v>
      </c>
      <c r="Q67">
        <v>6.62</v>
      </c>
      <c r="R67">
        <v>6.48</v>
      </c>
      <c r="S67">
        <v>0.27800000000000002</v>
      </c>
      <c r="T67">
        <v>0.29099999999999998</v>
      </c>
      <c r="U67">
        <v>0.32700000000000001</v>
      </c>
      <c r="Y67">
        <v>6.18</v>
      </c>
      <c r="Z67">
        <v>6.72</v>
      </c>
      <c r="AA67">
        <v>3.3</v>
      </c>
      <c r="AB67">
        <v>1.65</v>
      </c>
      <c r="AC67">
        <v>1.87</v>
      </c>
      <c r="AD67">
        <v>0.87</v>
      </c>
    </row>
    <row r="68" spans="1:36" x14ac:dyDescent="0.25">
      <c r="A68" t="s">
        <v>123</v>
      </c>
      <c r="B68" t="s">
        <v>31</v>
      </c>
      <c r="C68" t="s">
        <v>40</v>
      </c>
      <c r="D68" t="s">
        <v>125</v>
      </c>
      <c r="E68" t="s">
        <v>133</v>
      </c>
      <c r="F68" t="s">
        <v>91</v>
      </c>
      <c r="G68">
        <v>0.38</v>
      </c>
      <c r="H68" t="s">
        <v>122</v>
      </c>
      <c r="I68">
        <v>270</v>
      </c>
      <c r="J68">
        <v>1.4999999999999999E-2</v>
      </c>
      <c r="K68">
        <v>2.2000000000000002</v>
      </c>
      <c r="L68">
        <v>4.0999999999999996</v>
      </c>
      <c r="M68">
        <v>65</v>
      </c>
      <c r="N68">
        <v>81.8</v>
      </c>
      <c r="O68">
        <v>65.3</v>
      </c>
      <c r="P68">
        <v>3.44</v>
      </c>
      <c r="R68">
        <v>3.34</v>
      </c>
      <c r="S68">
        <v>0.14000000000000001</v>
      </c>
      <c r="U68">
        <v>0.128</v>
      </c>
      <c r="Y68">
        <v>50.7</v>
      </c>
      <c r="Z68">
        <v>63.4</v>
      </c>
      <c r="AA68">
        <v>54.9</v>
      </c>
      <c r="AB68">
        <v>3.32</v>
      </c>
      <c r="AD68">
        <v>3.16</v>
      </c>
    </row>
    <row r="69" spans="1:36" x14ac:dyDescent="0.25">
      <c r="A69" t="s">
        <v>123</v>
      </c>
      <c r="B69" t="s">
        <v>31</v>
      </c>
      <c r="C69" t="s">
        <v>40</v>
      </c>
      <c r="D69" t="s">
        <v>126</v>
      </c>
      <c r="E69" t="s">
        <v>133</v>
      </c>
      <c r="F69" t="s">
        <v>91</v>
      </c>
      <c r="G69">
        <v>0.35</v>
      </c>
      <c r="H69" t="s">
        <v>122</v>
      </c>
      <c r="I69">
        <v>350</v>
      </c>
      <c r="J69">
        <v>9.7999999999999997E-3</v>
      </c>
      <c r="K69">
        <v>0.26</v>
      </c>
      <c r="L69">
        <v>0.95</v>
      </c>
      <c r="M69">
        <v>81.5</v>
      </c>
      <c r="N69">
        <v>92.3</v>
      </c>
      <c r="O69">
        <v>57.5</v>
      </c>
      <c r="P69">
        <v>4.22</v>
      </c>
      <c r="Q69">
        <v>4.32</v>
      </c>
      <c r="R69">
        <v>3.77</v>
      </c>
      <c r="Y69">
        <v>80.5</v>
      </c>
      <c r="Z69">
        <v>90.1</v>
      </c>
      <c r="AA69">
        <v>55.3</v>
      </c>
      <c r="AB69">
        <v>4.07</v>
      </c>
      <c r="AC69">
        <v>4.1399999999999997</v>
      </c>
      <c r="AD69">
        <v>3.62</v>
      </c>
    </row>
    <row r="70" spans="1:36" x14ac:dyDescent="0.25">
      <c r="A70" t="s">
        <v>123</v>
      </c>
      <c r="B70" t="s">
        <v>31</v>
      </c>
      <c r="C70" t="s">
        <v>40</v>
      </c>
      <c r="D70" t="s">
        <v>127</v>
      </c>
      <c r="E70" t="s">
        <v>133</v>
      </c>
      <c r="F70" t="s">
        <v>91</v>
      </c>
      <c r="G70">
        <v>0.35</v>
      </c>
      <c r="H70" t="s">
        <v>122</v>
      </c>
      <c r="I70">
        <v>350</v>
      </c>
      <c r="J70">
        <v>0.01</v>
      </c>
      <c r="K70">
        <v>0</v>
      </c>
      <c r="L70">
        <v>0</v>
      </c>
      <c r="M70">
        <v>68.2</v>
      </c>
      <c r="N70">
        <v>80.900000000000006</v>
      </c>
      <c r="O70">
        <v>41.7</v>
      </c>
      <c r="P70">
        <v>3.61</v>
      </c>
      <c r="Q70">
        <v>3.82</v>
      </c>
      <c r="Y70">
        <v>60.5</v>
      </c>
      <c r="Z70">
        <v>68.7</v>
      </c>
      <c r="AA70">
        <v>36.799999999999997</v>
      </c>
      <c r="AB70">
        <v>3.33</v>
      </c>
      <c r="AC70">
        <v>3.56</v>
      </c>
      <c r="AD70">
        <v>3.8</v>
      </c>
    </row>
    <row r="71" spans="1:36" x14ac:dyDescent="0.25">
      <c r="A71" t="s">
        <v>123</v>
      </c>
      <c r="B71" t="s">
        <v>11</v>
      </c>
      <c r="C71" t="s">
        <v>12</v>
      </c>
      <c r="D71" t="s">
        <v>128</v>
      </c>
      <c r="E71" t="s">
        <v>133</v>
      </c>
      <c r="F71" t="s">
        <v>91</v>
      </c>
      <c r="G71">
        <v>0.3</v>
      </c>
      <c r="H71" t="s">
        <v>86</v>
      </c>
      <c r="I71">
        <v>260</v>
      </c>
      <c r="J71">
        <v>3.5000000000000001E-3</v>
      </c>
      <c r="K71">
        <v>0</v>
      </c>
      <c r="L71">
        <v>7.0000000000000007E-2</v>
      </c>
      <c r="M71">
        <v>246</v>
      </c>
      <c r="N71">
        <v>236</v>
      </c>
      <c r="O71">
        <v>208</v>
      </c>
      <c r="P71">
        <v>6.91</v>
      </c>
      <c r="Q71">
        <v>6.93</v>
      </c>
      <c r="R71">
        <v>6.62</v>
      </c>
      <c r="V71">
        <v>35600</v>
      </c>
      <c r="W71">
        <v>34100</v>
      </c>
      <c r="X71">
        <v>31500</v>
      </c>
      <c r="Y71">
        <v>9</v>
      </c>
      <c r="Z71">
        <v>9.1</v>
      </c>
      <c r="AA71">
        <v>7.5</v>
      </c>
      <c r="AB71">
        <v>1.93</v>
      </c>
      <c r="AC71">
        <v>2.1</v>
      </c>
      <c r="AD71">
        <v>1.53</v>
      </c>
      <c r="AH71">
        <v>4700</v>
      </c>
      <c r="AI71">
        <v>4300</v>
      </c>
      <c r="AJ71">
        <v>4900</v>
      </c>
    </row>
    <row r="72" spans="1:36" x14ac:dyDescent="0.25">
      <c r="A72" t="s">
        <v>123</v>
      </c>
      <c r="B72" t="s">
        <v>11</v>
      </c>
      <c r="C72" t="s">
        <v>12</v>
      </c>
      <c r="D72" t="s">
        <v>129</v>
      </c>
      <c r="E72" t="s">
        <v>133</v>
      </c>
      <c r="F72" t="s">
        <v>91</v>
      </c>
      <c r="G72">
        <v>0.3</v>
      </c>
      <c r="H72" t="s">
        <v>86</v>
      </c>
      <c r="I72">
        <v>260</v>
      </c>
      <c r="J72">
        <v>8.5000000000000006E-3</v>
      </c>
      <c r="K72">
        <v>0</v>
      </c>
      <c r="L72">
        <v>0.17</v>
      </c>
      <c r="M72">
        <v>255</v>
      </c>
      <c r="N72">
        <v>267</v>
      </c>
      <c r="O72">
        <v>225</v>
      </c>
      <c r="P72">
        <v>6.93</v>
      </c>
      <c r="Q72">
        <v>7.01</v>
      </c>
      <c r="R72">
        <v>6.73</v>
      </c>
      <c r="V72">
        <v>36800</v>
      </c>
      <c r="W72">
        <v>38000</v>
      </c>
      <c r="X72">
        <v>33400</v>
      </c>
      <c r="Y72">
        <v>8.6999999999999993</v>
      </c>
      <c r="Z72">
        <v>10</v>
      </c>
      <c r="AA72">
        <v>6.4</v>
      </c>
      <c r="AB72">
        <v>1.84</v>
      </c>
      <c r="AC72">
        <v>2.11</v>
      </c>
      <c r="AD72">
        <v>1.42</v>
      </c>
      <c r="AH72">
        <v>4700</v>
      </c>
      <c r="AI72">
        <v>4730</v>
      </c>
      <c r="AJ72">
        <v>4450</v>
      </c>
    </row>
    <row r="73" spans="1:36" x14ac:dyDescent="0.25">
      <c r="A73" t="s">
        <v>123</v>
      </c>
      <c r="B73" t="s">
        <v>31</v>
      </c>
      <c r="C73" t="s">
        <v>6</v>
      </c>
      <c r="D73" t="s">
        <v>130</v>
      </c>
      <c r="E73" t="s">
        <v>133</v>
      </c>
      <c r="F73" t="s">
        <v>91</v>
      </c>
      <c r="G73">
        <v>0.35</v>
      </c>
      <c r="H73" t="s">
        <v>86</v>
      </c>
      <c r="I73">
        <v>260</v>
      </c>
      <c r="J73">
        <v>9.7000000000000003E-3</v>
      </c>
      <c r="K73">
        <v>0</v>
      </c>
      <c r="L73">
        <v>0</v>
      </c>
      <c r="M73">
        <v>74.900000000000006</v>
      </c>
      <c r="O73">
        <v>71.3</v>
      </c>
      <c r="P73">
        <v>3.83</v>
      </c>
      <c r="R73">
        <v>3.64</v>
      </c>
      <c r="V73">
        <v>17800</v>
      </c>
      <c r="X73">
        <v>19600</v>
      </c>
    </row>
    <row r="74" spans="1:36" x14ac:dyDescent="0.25">
      <c r="A74" t="s">
        <v>131</v>
      </c>
      <c r="B74" t="s">
        <v>31</v>
      </c>
      <c r="C74" t="s">
        <v>40</v>
      </c>
      <c r="D74" t="s">
        <v>132</v>
      </c>
      <c r="E74" t="s">
        <v>133</v>
      </c>
      <c r="F74" t="s">
        <v>91</v>
      </c>
      <c r="G74">
        <v>0.28000000000000003</v>
      </c>
      <c r="H74" t="s">
        <v>122</v>
      </c>
      <c r="I74">
        <v>200</v>
      </c>
      <c r="J74">
        <v>8.0000000000000002E-3</v>
      </c>
      <c r="K74">
        <v>3.7</v>
      </c>
      <c r="L74">
        <v>5.4</v>
      </c>
      <c r="M74">
        <v>48.3</v>
      </c>
      <c r="P74">
        <v>3.39</v>
      </c>
      <c r="S74">
        <v>0.115</v>
      </c>
      <c r="V74">
        <v>17700</v>
      </c>
      <c r="Y74">
        <v>50.5</v>
      </c>
      <c r="Z74">
        <v>67.2</v>
      </c>
      <c r="AA74">
        <v>42.4</v>
      </c>
      <c r="AB74">
        <v>3.41</v>
      </c>
      <c r="AC74">
        <v>3.89</v>
      </c>
      <c r="AD74">
        <v>3.31</v>
      </c>
      <c r="AE74">
        <v>0.127</v>
      </c>
      <c r="AF74">
        <v>0.157</v>
      </c>
      <c r="AG74">
        <v>0.10100000000000001</v>
      </c>
      <c r="AH74">
        <v>18200</v>
      </c>
      <c r="AI74">
        <v>24000</v>
      </c>
      <c r="AJ74">
        <v>144000</v>
      </c>
    </row>
    <row r="75" spans="1:36" x14ac:dyDescent="0.25">
      <c r="A75" t="s">
        <v>134</v>
      </c>
      <c r="B75" t="s">
        <v>11</v>
      </c>
      <c r="C75" t="s">
        <v>12</v>
      </c>
      <c r="D75" t="s">
        <v>135</v>
      </c>
      <c r="E75" t="s">
        <v>136</v>
      </c>
      <c r="F75" t="s">
        <v>91</v>
      </c>
      <c r="G75">
        <v>0.32</v>
      </c>
      <c r="H75" t="s">
        <v>86</v>
      </c>
      <c r="I75">
        <v>260</v>
      </c>
      <c r="J75">
        <v>5.4000000000000003E-3</v>
      </c>
      <c r="K75">
        <v>448</v>
      </c>
      <c r="L75">
        <v>451</v>
      </c>
      <c r="M75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Liang</dc:creator>
  <cp:lastModifiedBy>Patricia Liang</cp:lastModifiedBy>
  <dcterms:created xsi:type="dcterms:W3CDTF">2026-03-10T05:02:43Z</dcterms:created>
  <dcterms:modified xsi:type="dcterms:W3CDTF">2026-03-10T10:16:17Z</dcterms:modified>
</cp:coreProperties>
</file>